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full" sheetId="1" r:id="rId4"/>
    <sheet state="visible" name="AppCA" sheetId="2" r:id="rId5"/>
    <sheet state="visible" name="Rampa" sheetId="3" r:id="rId6"/>
    <sheet state="visible" name="Resumen_BoM" sheetId="4" r:id="rId7"/>
    <sheet state="visible" name="Arquitectura" sheetId="5" r:id="rId8"/>
  </sheets>
  <definedNames/>
  <calcPr/>
  <extLst>
    <ext uri="GoogleSheetsCustomDataVersion2">
      <go:sheetsCustomData xmlns:go="http://customooxmlschemas.google.com/" r:id="rId9" roundtripDataChecksum="PTSQiQCISFv54z5WOaycqwl8O5/lHr4ZyaOayWri6os="/>
    </ext>
  </extLst>
</workbook>
</file>

<file path=xl/sharedStrings.xml><?xml version="1.0" encoding="utf-8"?>
<sst xmlns="http://schemas.openxmlformats.org/spreadsheetml/2006/main" count="275" uniqueCount="156">
  <si>
    <t>BOM</t>
  </si>
  <si>
    <t>Cluster</t>
  </si>
  <si>
    <t xml:space="preserve">Part Number </t>
  </si>
  <si>
    <t>Product</t>
  </si>
  <si>
    <t>Quantity</t>
  </si>
  <si>
    <t>Metric</t>
  </si>
  <si>
    <t>Price (USD)</t>
  </si>
  <si>
    <t>Term</t>
  </si>
  <si>
    <t>Descuento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</si>
  <si>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</si>
  <si>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</si>
  <si>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</si>
  <si>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</si>
  <si>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</si>
  <si>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</si>
  <si>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</si>
  <si>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</si>
  <si>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</si>
  <si>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</si>
  <si>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</si>
  <si>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</si>
  <si>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</si>
  <si>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</si>
  <si>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</si>
  <si>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</si>
  <si>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</si>
  <si>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</si>
  <si>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</si>
  <si>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</si>
  <si>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</si>
  <si>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</si>
  <si>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</si>
  <si>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</si>
  <si>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</si>
  <si>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</si>
  <si>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</si>
  <si>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</si>
  <si>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</si>
  <si>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</si>
  <si>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</si>
  <si>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</si>
  <si>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</si>
  <si>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</si>
  <si>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</si>
  <si>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</si>
  <si>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OCVS</t>
  </si>
  <si>
    <t>Computo / Storage</t>
  </si>
  <si>
    <t>B93290</t>
  </si>
  <si>
    <t>Oracle Cloud VMware Solution - BM.DenseIO2.52 - 3 Year Commit</t>
  </si>
  <si>
    <t>OCPU Per Hour</t>
  </si>
  <si>
    <t>B91961</t>
  </si>
  <si>
    <t xml:space="preserve">Oracle Cloud Infrastructure - Block Volume Storage </t>
  </si>
  <si>
    <t>Gigabyte Storage Capacity Per Month</t>
  </si>
  <si>
    <t>B91962</t>
  </si>
  <si>
    <t>Oracle Cloud Infrastructure - Block Volume Performance</t>
  </si>
  <si>
    <t>Performance Units Per Gigabyte Per Month</t>
  </si>
  <si>
    <t>B91628</t>
  </si>
  <si>
    <t>Oracle Cloud Infrastructure - Object Storage - Storage</t>
  </si>
  <si>
    <t>B93000</t>
  </si>
  <si>
    <t>Oracle Cloud Infrastructure - Infrequent Access - Storage</t>
  </si>
  <si>
    <t>B91627</t>
  </si>
  <si>
    <t>Oracle Cloud Infrastructure - Object Storage - Request</t>
  </si>
  <si>
    <t>10K Requests Per Month</t>
  </si>
  <si>
    <t>Networking</t>
  </si>
  <si>
    <t>B88326</t>
  </si>
  <si>
    <t>Oracle Cloud Infrastructure - FastConnect 10 Gbps</t>
  </si>
  <si>
    <t>Port Hour</t>
  </si>
  <si>
    <t>OCI Kubernetes Engine</t>
  </si>
  <si>
    <t>Computo</t>
  </si>
  <si>
    <t>B96545</t>
  </si>
  <si>
    <t>Oracle Container Engine for Kubernetes - Enhanced Cluster</t>
  </si>
  <si>
    <t>Cluster Per Hour</t>
  </si>
  <si>
    <t>B94176</t>
  </si>
  <si>
    <t>Oracle Cloud Infrastructure - Compute - Standard - X9</t>
  </si>
  <si>
    <t>B94177</t>
  </si>
  <si>
    <t>Oracle Cloud Infrastructure - Compute - Standard - Memory</t>
  </si>
  <si>
    <t>GB per hour</t>
  </si>
  <si>
    <t>PostgreSQL</t>
  </si>
  <si>
    <t>PRD1</t>
  </si>
  <si>
    <t>B99060</t>
  </si>
  <si>
    <t xml:space="preserve">Oracle Cloud Infrastructure Database with PostgreSQL - X86 </t>
  </si>
  <si>
    <t>B99062</t>
  </si>
  <si>
    <t>Oracle Cloud Infrastructure Database Optimized Storage</t>
  </si>
  <si>
    <t>B93113</t>
  </si>
  <si>
    <t>Oracle Cloud Infrastructure-Compute-Standard-E4</t>
  </si>
  <si>
    <t>B93114</t>
  </si>
  <si>
    <t>Oracle Cloud Infrastructure-Compute-Standard-E4-Memory</t>
  </si>
  <si>
    <t>Gigabyte Per Hour</t>
  </si>
  <si>
    <t>PRD2</t>
  </si>
  <si>
    <t>QA</t>
  </si>
  <si>
    <t>DEV</t>
  </si>
  <si>
    <t>Total Año 1:</t>
  </si>
  <si>
    <t>Total Año 2:</t>
  </si>
  <si>
    <t>Total Año 3:</t>
  </si>
  <si>
    <t>Quote ID:</t>
  </si>
  <si>
    <t>VMWare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</si>
  <si>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</si>
  <si>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</si>
  <si>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</si>
  <si>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</si>
  <si>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</si>
  <si>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</si>
  <si>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</si>
  <si>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</si>
  <si>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</si>
  <si>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</si>
  <si>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</si>
  <si>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</si>
  <si>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</si>
  <si>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</si>
  <si>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</si>
  <si>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</si>
  <si>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</si>
  <si>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</si>
  <si>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</si>
  <si>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</si>
  <si>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</si>
  <si>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</si>
  <si>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</si>
  <si>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</si>
  <si>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</si>
  <si>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</si>
  <si>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</si>
  <si>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</si>
  <si>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</si>
  <si>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</si>
  <si>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</si>
  <si>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</si>
  <si>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</si>
  <si>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</si>
  <si>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</si>
  <si>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</si>
  <si>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VMWare - Producción</t>
  </si>
  <si>
    <t>OKE - Produccion</t>
  </si>
  <si>
    <t>PostgreSQL - PRD1</t>
  </si>
  <si>
    <t>PostgreSQL - PRD2</t>
  </si>
  <si>
    <t>PostgreSQL - QA</t>
  </si>
  <si>
    <t>PostgreSQL - DEV</t>
  </si>
  <si>
    <t>Networking - Fastconnect</t>
  </si>
  <si>
    <t>OCVS - Producción</t>
  </si>
  <si>
    <t>Resumen BoM</t>
  </si>
  <si>
    <t>Concepto</t>
  </si>
  <si>
    <t>Comentarios</t>
  </si>
  <si>
    <t>Total Año 1</t>
  </si>
  <si>
    <t>Total Año 2</t>
  </si>
  <si>
    <t>Total Año 3</t>
  </si>
  <si>
    <t>Produccion OCVS</t>
  </si>
  <si>
    <t>Ambiente Produccion - 4x Nodos OCVS X7</t>
  </si>
  <si>
    <t>Ambiente Produccion - Cluster OCI Kubernetes</t>
  </si>
  <si>
    <t>PostgreSQL - Producción 1</t>
  </si>
  <si>
    <t>Ambiente Produccion - PostgreSQL</t>
  </si>
  <si>
    <t>PostgreSQL - Producción 2</t>
  </si>
  <si>
    <t>Ambiente QA - PostgreSQL</t>
  </si>
  <si>
    <t>Ambiente DEV - PostgreSQL</t>
  </si>
  <si>
    <t>2x Puertos FastConnect 10GB</t>
  </si>
  <si>
    <t>Total Creditos Universales OCI (USD)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</si>
</sst>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00"/>
    <numFmt numFmtId="165" formatCode="&quot;$&quot;#,##0"/>
    <numFmt numFmtId="166" formatCode="&quot;$&quot;\ #,##0.00"/>
    <numFmt numFmtId="167" formatCode="_(&quot;$&quot;\ * #,##0_);_(&quot;$&quot;\ * \(#,##0\);_(&quot;$&quot;\ * &quot;-&quot;??_);_(@_)"/>
  </numFmts>
  <fonts count="18">
    <font>
      <sz val="11.0"/>
      <color rgb="FF000000"/>
      <name val="Calibri"/>
      <scheme val="minor"/>
    </font>
    <font>
      <sz val="9.0"/>
      <color theme="1"/>
      <name val="Oracle Sans"/>
    </font>
    <font>
      <b/>
      <u/>
      <sz val="9.0"/>
      <color theme="1"/>
      <name val="Oracle Sans"/>
    </font>
    <font>
      <b/>
      <sz val="9.0"/>
      <color theme="0"/>
      <name val="Oracle Sans"/>
    </font>
    <font>
      <sz val="9.0"/>
      <color rgb="FF000000"/>
      <name val="Verdana"/>
    </font>
    <font/>
    <font>
      <b/>
      <sz val="9.0"/>
      <color theme="1"/>
      <name val="Oracle Sans"/>
    </font>
    <font>
      <b/>
      <sz val="9.0"/>
      <color rgb="FFFF0000"/>
      <name val="Oracle Sans"/>
    </font>
    <font>
      <sz val="11.0"/>
      <color theme="0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sz val="11.0"/>
      <color theme="1"/>
      <name val="Calibri"/>
    </font>
    <font>
      <b/>
      <sz val="10.0"/>
      <color rgb="FFFFC000"/>
      <name val="Oracle Sans"/>
    </font>
    <font>
      <b/>
      <sz val="10.0"/>
      <color rgb="FFFCFBFA"/>
      <name val="Oracle Sans"/>
    </font>
    <font>
      <b/>
      <sz val="10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EEECE1"/>
        <bgColor rgb="FFEEECE1"/>
      </patternFill>
    </fill>
    <fill>
      <patternFill patternType="solid">
        <fgColor rgb="FF938953"/>
        <bgColor rgb="FF938953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theme="7"/>
        <bgColor theme="7"/>
      </patternFill>
    </fill>
    <fill>
      <patternFill patternType="solid">
        <fgColor rgb="FF2C5967"/>
        <bgColor rgb="FF2C5967"/>
      </patternFill>
    </fill>
  </fills>
  <borders count="38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312D2A"/>
      </left>
      <top style="medium">
        <color rgb="FF000000"/>
      </top>
      <bottom style="medium">
        <color rgb="FF312D2A"/>
      </bottom>
    </border>
    <border>
      <top style="medium">
        <color rgb="FF000000"/>
      </top>
      <bottom style="medium">
        <color rgb="FF312D2A"/>
      </bottom>
    </border>
    <border>
      <right style="medium">
        <color rgb="FF312D2A"/>
      </right>
      <top style="medium">
        <color rgb="FF000000"/>
      </top>
      <bottom style="medium">
        <color rgb="FF312D2A"/>
      </bottom>
    </border>
    <border>
      <left/>
      <right/>
      <top style="medium">
        <color rgb="FF000000"/>
      </top>
      <bottom style="medium">
        <color rgb="FF312D2A"/>
      </bottom>
    </border>
    <border>
      <left style="medium">
        <color rgb="FF312D2A"/>
      </left>
      <right style="medium">
        <color rgb="FF312D2A"/>
      </right>
      <top style="medium">
        <color rgb="FF312D2A"/>
      </top>
      <bottom style="medium">
        <color rgb="FF312D2A"/>
      </bottom>
    </border>
    <border>
      <left/>
      <right/>
      <top style="medium">
        <color rgb="FF312D2A"/>
      </top>
      <bottom style="medium">
        <color rgb="FF312D2A"/>
      </bottom>
    </border>
    <border>
      <left/>
      <right style="medium">
        <color rgb="FF312D2A"/>
      </right>
      <top style="medium">
        <color rgb="FF312D2A"/>
      </top>
      <bottom style="medium">
        <color rgb="FF312D2A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ck">
        <color rgb="FF312D2A"/>
      </left>
      <right/>
      <top style="thick">
        <color rgb="FF312D2A"/>
      </top>
      <bottom style="thick">
        <color rgb="FF312D2A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center"/>
    </xf>
    <xf borderId="1" fillId="2" fontId="3" numFmtId="0" xfId="0" applyBorder="1" applyFont="1"/>
    <xf borderId="1" fillId="2" fontId="3" numFmtId="9" xfId="0" applyBorder="1" applyFont="1" applyNumberFormat="1"/>
    <xf borderId="1" fillId="3" fontId="3" numFmtId="0" xfId="0" applyAlignment="1" applyBorder="1" applyFill="1" applyFont="1">
      <alignment horizontal="center"/>
    </xf>
    <xf borderId="1" fillId="3" fontId="3" numFmtId="0" xfId="0" applyBorder="1" applyFont="1"/>
    <xf borderId="2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/>
    </xf>
    <xf borderId="4" fillId="2" fontId="1" numFmtId="0" xfId="0" applyBorder="1" applyFont="1"/>
    <xf borderId="4" fillId="2" fontId="1" numFmtId="3" xfId="0" applyAlignment="1" applyBorder="1" applyFont="1" applyNumberFormat="1">
      <alignment horizontal="center"/>
    </xf>
    <xf borderId="4" fillId="2" fontId="1" numFmtId="164" xfId="0" applyBorder="1" applyFont="1" applyNumberFormat="1"/>
    <xf borderId="4" fillId="2" fontId="1" numFmtId="9" xfId="0" applyAlignment="1" applyBorder="1" applyFont="1" applyNumberFormat="1">
      <alignment horizontal="center"/>
    </xf>
    <xf borderId="4" fillId="2" fontId="1" numFmtId="165" xfId="0" applyBorder="1" applyFont="1" applyNumberFormat="1"/>
    <xf borderId="5" fillId="2" fontId="1" numFmtId="165" xfId="0" applyBorder="1" applyFont="1" applyNumberFormat="1"/>
    <xf borderId="6" fillId="0" fontId="5" numFmtId="0" xfId="0" applyBorder="1" applyFont="1"/>
    <xf borderId="7" fillId="0" fontId="5" numFmtId="0" xfId="0" applyBorder="1" applyFont="1"/>
    <xf borderId="8" fillId="2" fontId="1" numFmtId="0" xfId="0" applyAlignment="1" applyBorder="1" applyFont="1">
      <alignment horizontal="center"/>
    </xf>
    <xf borderId="8" fillId="2" fontId="1" numFmtId="0" xfId="0" applyBorder="1" applyFont="1"/>
    <xf borderId="8" fillId="2" fontId="1" numFmtId="3" xfId="0" applyAlignment="1" applyBorder="1" applyFont="1" applyNumberFormat="1">
      <alignment horizontal="center"/>
    </xf>
    <xf borderId="8" fillId="2" fontId="1" numFmtId="164" xfId="0" applyBorder="1" applyFont="1" applyNumberFormat="1"/>
    <xf borderId="8" fillId="2" fontId="1" numFmtId="9" xfId="0" applyAlignment="1" applyBorder="1" applyFont="1" applyNumberFormat="1">
      <alignment horizontal="center"/>
    </xf>
    <xf borderId="8" fillId="2" fontId="1" numFmtId="165" xfId="0" applyBorder="1" applyFont="1" applyNumberFormat="1"/>
    <xf borderId="9" fillId="2" fontId="1" numFmtId="165" xfId="0" applyBorder="1" applyFont="1" applyNumberFormat="1"/>
    <xf borderId="8" fillId="2" fontId="1" numFmtId="0" xfId="0" applyAlignment="1" applyBorder="1" applyFont="1">
      <alignment shrinkToFit="0" wrapText="1"/>
    </xf>
    <xf borderId="10" fillId="0" fontId="5" numFmtId="0" xfId="0" applyBorder="1" applyFont="1"/>
    <xf borderId="11" fillId="0" fontId="5" numFmtId="0" xfId="0" applyBorder="1" applyFont="1"/>
    <xf borderId="12" fillId="2" fontId="4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/>
    </xf>
    <xf borderId="13" fillId="2" fontId="1" numFmtId="0" xfId="0" applyBorder="1" applyFont="1"/>
    <xf borderId="13" fillId="2" fontId="1" numFmtId="164" xfId="0" applyBorder="1" applyFont="1" applyNumberFormat="1"/>
    <xf borderId="13" fillId="2" fontId="1" numFmtId="9" xfId="0" applyAlignment="1" applyBorder="1" applyFont="1" applyNumberFormat="1">
      <alignment horizontal="center"/>
    </xf>
    <xf borderId="13" fillId="2" fontId="1" numFmtId="165" xfId="0" applyBorder="1" applyFont="1" applyNumberFormat="1"/>
    <xf borderId="14" fillId="2" fontId="1" numFmtId="165" xfId="0" applyBorder="1" applyFont="1" applyNumberFormat="1"/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8" fillId="2" fontId="1" numFmtId="1" xfId="0" applyAlignment="1" applyBorder="1" applyFont="1" applyNumberFormat="1">
      <alignment horizontal="center"/>
    </xf>
    <xf borderId="15" fillId="0" fontId="5" numFmtId="0" xfId="0" applyBorder="1" applyFont="1"/>
    <xf borderId="13" fillId="2" fontId="1" numFmtId="0" xfId="0" applyAlignment="1" applyBorder="1" applyFont="1">
      <alignment shrinkToFit="0" wrapText="1"/>
    </xf>
    <xf borderId="16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4" fillId="2" fontId="1" numFmtId="1" xfId="0" applyAlignment="1" applyBorder="1" applyFont="1" applyNumberFormat="1">
      <alignment horizontal="center"/>
    </xf>
    <xf borderId="4" fillId="2" fontId="1" numFmtId="0" xfId="0" applyAlignment="1" applyBorder="1" applyFont="1">
      <alignment shrinkToFit="0" wrapText="1"/>
    </xf>
    <xf borderId="17" fillId="0" fontId="5" numFmtId="0" xfId="0" applyBorder="1" applyFont="1"/>
    <xf borderId="13" fillId="2" fontId="1" numFmtId="1" xfId="0" applyAlignment="1" applyBorder="1" applyFont="1" applyNumberFormat="1">
      <alignment horizontal="center"/>
    </xf>
    <xf borderId="18" fillId="0" fontId="5" numFmtId="0" xfId="0" applyBorder="1" applyFont="1"/>
    <xf borderId="19" fillId="2" fontId="6" numFmtId="165" xfId="0" applyBorder="1" applyFont="1" applyNumberFormat="1"/>
    <xf borderId="20" fillId="2" fontId="6" numFmtId="165" xfId="0" applyBorder="1" applyFont="1" applyNumberFormat="1"/>
    <xf borderId="21" fillId="2" fontId="6" numFmtId="165" xfId="0" applyBorder="1" applyFont="1" applyNumberFormat="1"/>
    <xf borderId="22" fillId="3" fontId="3" numFmtId="0" xfId="0" applyBorder="1" applyFont="1"/>
    <xf borderId="22" fillId="2" fontId="7" numFmtId="165" xfId="0" applyBorder="1" applyFont="1" applyNumberFormat="1"/>
    <xf borderId="1" fillId="3" fontId="8" numFmtId="0" xfId="0" applyBorder="1" applyFont="1"/>
    <xf borderId="0" fillId="0" fontId="9" numFmtId="0" xfId="0" applyFont="1"/>
    <xf borderId="8" fillId="3" fontId="10" numFmtId="0" xfId="0" applyAlignment="1" applyBorder="1" applyFont="1">
      <alignment horizontal="center"/>
    </xf>
    <xf borderId="1" fillId="3" fontId="8" numFmtId="0" xfId="0" applyAlignment="1" applyBorder="1" applyFont="1">
      <alignment horizontal="center"/>
    </xf>
    <xf borderId="23" fillId="0" fontId="11" numFmtId="166" xfId="0" applyBorder="1" applyFont="1" applyNumberFormat="1"/>
    <xf borderId="0" fillId="0" fontId="12" numFmtId="166" xfId="0" applyFont="1" applyNumberFormat="1"/>
    <xf borderId="0" fillId="0" fontId="13" numFmtId="166" xfId="0" applyFont="1" applyNumberFormat="1"/>
    <xf borderId="1" fillId="3" fontId="10" numFmtId="0" xfId="0" applyAlignment="1" applyBorder="1" applyFont="1">
      <alignment horizontal="center"/>
    </xf>
    <xf borderId="1" fillId="4" fontId="14" numFmtId="0" xfId="0" applyBorder="1" applyFill="1" applyFont="1"/>
    <xf borderId="0" fillId="0" fontId="11" numFmtId="0" xfId="0" applyAlignment="1" applyFont="1">
      <alignment horizontal="center"/>
    </xf>
    <xf borderId="1" fillId="5" fontId="14" numFmtId="0" xfId="0" applyBorder="1" applyFill="1" applyFont="1"/>
    <xf borderId="1" fillId="6" fontId="14" numFmtId="0" xfId="0" applyBorder="1" applyFill="1" applyFont="1"/>
    <xf borderId="1" fillId="7" fontId="14" numFmtId="0" xfId="0" applyBorder="1" applyFill="1" applyFont="1"/>
    <xf borderId="1" fillId="8" fontId="14" numFmtId="0" xfId="0" applyBorder="1" applyFill="1" applyFont="1"/>
    <xf borderId="1" fillId="9" fontId="14" numFmtId="0" xfId="0" applyBorder="1" applyFill="1" applyFont="1"/>
    <xf borderId="24" fillId="10" fontId="15" numFmtId="0" xfId="0" applyAlignment="1" applyBorder="1" applyFill="1" applyFont="1">
      <alignment horizontal="center" readingOrder="1" shrinkToFit="0" vertical="center" wrapText="1"/>
    </xf>
    <xf borderId="25" fillId="0" fontId="5" numFmtId="0" xfId="0" applyBorder="1" applyFont="1"/>
    <xf borderId="26" fillId="0" fontId="5" numFmtId="0" xfId="0" applyBorder="1" applyFont="1"/>
    <xf borderId="27" fillId="10" fontId="16" numFmtId="0" xfId="0" applyAlignment="1" applyBorder="1" applyFont="1">
      <alignment horizontal="left" readingOrder="1" shrinkToFit="0" vertical="center" wrapText="1"/>
    </xf>
    <xf borderId="28" fillId="10" fontId="16" numFmtId="0" xfId="0" applyAlignment="1" applyBorder="1" applyFont="1">
      <alignment horizontal="left" readingOrder="1" shrinkToFit="0" vertical="center" wrapText="1"/>
    </xf>
    <xf borderId="29" fillId="10" fontId="16" numFmtId="0" xfId="0" applyAlignment="1" applyBorder="1" applyFont="1">
      <alignment horizontal="left" readingOrder="1" shrinkToFit="0" vertical="center" wrapText="1"/>
    </xf>
    <xf borderId="30" fillId="10" fontId="16" numFmtId="0" xfId="0" applyAlignment="1" applyBorder="1" applyFont="1">
      <alignment horizontal="left" readingOrder="1" shrinkToFit="0" vertical="center" wrapText="1"/>
    </xf>
    <xf borderId="31" fillId="2" fontId="6" numFmtId="0" xfId="0" applyBorder="1" applyFont="1"/>
    <xf borderId="32" fillId="2" fontId="1" numFmtId="167" xfId="0" applyBorder="1" applyFont="1" applyNumberFormat="1"/>
    <xf borderId="33" fillId="2" fontId="1" numFmtId="167" xfId="0" applyBorder="1" applyFont="1" applyNumberFormat="1"/>
    <xf borderId="1" fillId="2" fontId="11" numFmtId="0" xfId="0" applyBorder="1" applyFont="1"/>
    <xf borderId="34" fillId="10" fontId="16" numFmtId="0" xfId="0" applyAlignment="1" applyBorder="1" applyFont="1">
      <alignment horizontal="left" readingOrder="1" shrinkToFit="0" vertical="center" wrapText="1"/>
    </xf>
    <xf borderId="35" fillId="2" fontId="17" numFmtId="167" xfId="0" applyBorder="1" applyFont="1" applyNumberFormat="1"/>
    <xf borderId="36" fillId="2" fontId="17" numFmtId="167" xfId="0" applyBorder="1" applyFont="1" applyNumberFormat="1"/>
    <xf borderId="37" fillId="2" fontId="17" numFmtId="167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429500" cy="4600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3" width="16.0"/>
    <col customWidth="1" min="4" max="4" width="10.86"/>
    <col customWidth="1" min="5" max="5" width="47.0"/>
    <col customWidth="1" min="6" max="6" width="13.71"/>
    <col customWidth="1" min="7" max="7" width="34.71"/>
    <col customWidth="1" min="8" max="8" width="9.43"/>
    <col customWidth="1" min="9" max="9" width="5.43"/>
    <col customWidth="1" min="10" max="10" width="9.43"/>
    <col customWidth="1" min="11" max="19" width="9.0"/>
    <col customWidth="1" min="20" max="20" width="9.57"/>
    <col customWidth="1" min="21" max="21" width="9.86"/>
    <col customWidth="1" min="22" max="22" width="10.14"/>
    <col customWidth="1" min="23" max="29" width="9.57"/>
    <col customWidth="1" min="30" max="30" width="9.86"/>
    <col customWidth="1" min="31" max="31" width="9.57"/>
    <col customWidth="1" min="32" max="32" width="9.86"/>
    <col customWidth="1" min="33" max="33" width="12.43"/>
    <col customWidth="1" min="34" max="40" width="9.86"/>
    <col customWidth="1" min="41" max="41" width="9.57"/>
    <col customWidth="1" min="42" max="44" width="9.86"/>
    <col customWidth="1" min="45" max="45" width="12.43"/>
    <col customWidth="1" min="46" max="46" width="9.86"/>
  </cols>
  <sheetData>
    <row r="1" ht="12.0" customHeight="1">
      <c r="A1" s="1"/>
      <c r="B1" s="1"/>
      <c r="C1" s="1"/>
      <c r="D1" s="2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12.0" customHeight="1">
      <c r="A2" s="1"/>
      <c r="B2" s="3" t="s">
        <v>0</v>
      </c>
      <c r="C2" s="3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12.0" customHeight="1">
      <c r="A3" s="1"/>
      <c r="B3" s="1"/>
      <c r="C3" s="1"/>
      <c r="D3" s="4"/>
      <c r="E3" s="5"/>
      <c r="F3" s="4"/>
      <c r="G3" s="5"/>
      <c r="H3" s="5"/>
      <c r="I3" s="5">
        <v>730.0</v>
      </c>
      <c r="J3" s="6">
        <v>0.0</v>
      </c>
      <c r="K3" s="5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ht="12.0" customHeight="1">
      <c r="A4" s="1"/>
      <c r="B4" s="1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ht="12.0" customHeight="1">
      <c r="A5" s="1"/>
      <c r="B5" s="7" t="s">
        <v>1</v>
      </c>
      <c r="C5" s="7"/>
      <c r="D5" s="7" t="s">
        <v>2</v>
      </c>
      <c r="E5" s="8" t="s">
        <v>3</v>
      </c>
      <c r="F5" s="7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7" t="s">
        <v>9</v>
      </c>
      <c r="L5" s="7" t="s">
        <v>10</v>
      </c>
      <c r="M5" s="7" t="s">
        <v>11</v>
      </c>
      <c r="N5" s="7" t="s">
        <v>12</v>
      </c>
      <c r="O5" s="7" t="s">
        <v>13</v>
      </c>
      <c r="P5" s="7" t="s">
        <v>14</v>
      </c>
      <c r="Q5" s="7" t="s">
        <v>15</v>
      </c>
      <c r="R5" s="7" t="s">
        <v>16</v>
      </c>
      <c r="S5" s="7" t="s">
        <v>17</v>
      </c>
      <c r="T5" s="7" t="s">
        <v>18</v>
      </c>
      <c r="U5" s="7" t="s">
        <v>19</v>
      </c>
      <c r="V5" s="7" t="s">
        <v>20</v>
      </c>
      <c r="W5" s="7" t="s">
        <v>21</v>
      </c>
      <c r="X5" s="7" t="s">
        <v>22</v>
      </c>
      <c r="Y5" s="7" t="s">
        <v>23</v>
      </c>
      <c r="Z5" s="7" t="s">
        <v>24</v>
      </c>
      <c r="AA5" s="7" t="s">
        <v>25</v>
      </c>
      <c r="AB5" s="7" t="s">
        <v>26</v>
      </c>
      <c r="AC5" s="7" t="s">
        <v>27</v>
      </c>
      <c r="AD5" s="7" t="s">
        <v>28</v>
      </c>
      <c r="AE5" s="7" t="s">
        <v>29</v>
      </c>
      <c r="AF5" s="7" t="s">
        <v>30</v>
      </c>
      <c r="AG5" s="7" t="s">
        <v>31</v>
      </c>
      <c r="AH5" s="7" t="s">
        <v>32</v>
      </c>
      <c r="AI5" s="7" t="s">
        <v>33</v>
      </c>
      <c r="AJ5" s="7" t="s">
        <v>34</v>
      </c>
      <c r="AK5" s="7" t="s">
        <v>35</v>
      </c>
      <c r="AL5" s="7" t="s">
        <v>36</v>
      </c>
      <c r="AM5" s="7" t="s">
        <v>37</v>
      </c>
      <c r="AN5" s="7" t="s">
        <v>38</v>
      </c>
      <c r="AO5" s="7" t="s">
        <v>39</v>
      </c>
      <c r="AP5" s="7" t="s">
        <v>40</v>
      </c>
      <c r="AQ5" s="7" t="s">
        <v>41</v>
      </c>
      <c r="AR5" s="7" t="s">
        <v>42</v>
      </c>
      <c r="AS5" s="7" t="s">
        <v>43</v>
      </c>
      <c r="AT5" s="7" t="s">
        <v>44</v>
      </c>
    </row>
    <row r="6" ht="12.0" customHeight="1">
      <c r="A6" s="1"/>
      <c r="B6" s="9" t="s">
        <v>45</v>
      </c>
      <c r="C6" s="10" t="s">
        <v>46</v>
      </c>
      <c r="D6" s="11" t="s">
        <v>47</v>
      </c>
      <c r="E6" s="12" t="s">
        <v>48</v>
      </c>
      <c r="F6" s="13">
        <f>4*52</f>
        <v>208</v>
      </c>
      <c r="G6" s="12" t="s">
        <v>49</v>
      </c>
      <c r="H6" s="14">
        <v>0.132</v>
      </c>
      <c r="I6" s="12">
        <f>$I$3</f>
        <v>730</v>
      </c>
      <c r="J6" s="15">
        <v>0.0</v>
      </c>
      <c r="K6" s="16">
        <f>$F$6*$H$6*$I$6*(1-$J6)*Rampa!B14</f>
        <v>20042.88</v>
      </c>
      <c r="L6" s="16">
        <f>$F$6*$H$6*$I$6*(1-$J6)*Rampa!C14</f>
        <v>20042.88</v>
      </c>
      <c r="M6" s="16">
        <f>$F$6*$H$6*$I$6*(1-$J6)*Rampa!D14</f>
        <v>20042.88</v>
      </c>
      <c r="N6" s="16">
        <f>$F$6*$H$6*$I$6*(1-$J6)*Rampa!E14</f>
        <v>20042.88</v>
      </c>
      <c r="O6" s="16">
        <f>$F$6*$H$6*$I$6*(1-$J6)*Rampa!F14</f>
        <v>20042.88</v>
      </c>
      <c r="P6" s="16">
        <f>$F$6*$H$6*$I$6*(1-$J6)*Rampa!G14</f>
        <v>20042.88</v>
      </c>
      <c r="Q6" s="16">
        <f>$F$6*$H$6*$I$6*(1-$J6)*Rampa!H14</f>
        <v>20042.88</v>
      </c>
      <c r="R6" s="16">
        <f>$F$6*$H$6*$I$6*(1-$J6)*Rampa!I14</f>
        <v>20042.88</v>
      </c>
      <c r="S6" s="16">
        <f>$F$6*$H$6*$I$6*(1-$J6)*Rampa!J14</f>
        <v>20042.88</v>
      </c>
      <c r="T6" s="16">
        <f>$F$6*$H$6*$I$6*(1-$J6)*Rampa!K14</f>
        <v>20042.88</v>
      </c>
      <c r="U6" s="16">
        <f>$F$6*$H$6*$I$6*(1-$J6)*Rampa!L14</f>
        <v>20042.88</v>
      </c>
      <c r="V6" s="16">
        <f>$F$6*$H$6*$I$6*(1-$J6)*Rampa!M14</f>
        <v>20042.88</v>
      </c>
      <c r="W6" s="16">
        <f>$F$6*$H$6*$I$6*(1-$J6)*Rampa!N14</f>
        <v>20042.88</v>
      </c>
      <c r="X6" s="16">
        <f>$F$6*$H$6*$I$6*(1-$J6)*Rampa!O14</f>
        <v>20042.88</v>
      </c>
      <c r="Y6" s="16">
        <f>$F$6*$H$6*$I$6*(1-$J6)*Rampa!P14</f>
        <v>20042.88</v>
      </c>
      <c r="Z6" s="16">
        <f>$F$6*$H$6*$I$6*(1-$J6)*Rampa!Q14</f>
        <v>20042.88</v>
      </c>
      <c r="AA6" s="16">
        <f>$F$6*$H$6*$I$6*(1-$J6)*Rampa!R14</f>
        <v>20042.88</v>
      </c>
      <c r="AB6" s="16">
        <f>$F$6*$H$6*$I$6*(1-$J6)*Rampa!S14</f>
        <v>20042.88</v>
      </c>
      <c r="AC6" s="16">
        <f>$F$6*$H$6*$I$6*(1-$J6)*Rampa!T14</f>
        <v>20042.88</v>
      </c>
      <c r="AD6" s="16">
        <f>$F$6*$H$6*$I$6*(1-$J6)*Rampa!U14</f>
        <v>20042.88</v>
      </c>
      <c r="AE6" s="16">
        <f>$F$6*$H$6*$I$6*(1-$J6)*Rampa!V14</f>
        <v>20042.88</v>
      </c>
      <c r="AF6" s="16">
        <f>$F$6*$H$6*$I$6*(1-$J6)*Rampa!W14</f>
        <v>20042.88</v>
      </c>
      <c r="AG6" s="16">
        <f>$F$6*$H$6*$I$6*(1-$J6)*Rampa!X14</f>
        <v>20042.88</v>
      </c>
      <c r="AH6" s="16">
        <f>$F$6*$H$6*$I$6*(1-$J6)*Rampa!Y14</f>
        <v>20042.88</v>
      </c>
      <c r="AI6" s="16">
        <f>$F$6*$H$6*$I$6*(1-$J6)*Rampa!Z14</f>
        <v>20042.88</v>
      </c>
      <c r="AJ6" s="16">
        <f>$F$6*$H$6*$I$6*(1-$J6)*Rampa!AA14</f>
        <v>20042.88</v>
      </c>
      <c r="AK6" s="16">
        <f>$F$6*$H$6*$I$6*(1-$J6)*Rampa!AB14</f>
        <v>20042.88</v>
      </c>
      <c r="AL6" s="16">
        <f>$F$6*$H$6*$I$6*(1-$J6)*Rampa!AC14</f>
        <v>20042.88</v>
      </c>
      <c r="AM6" s="16">
        <f>$F$6*$H$6*$I$6*(1-$J6)*Rampa!AD14</f>
        <v>20042.88</v>
      </c>
      <c r="AN6" s="16">
        <f>$F$6*$H$6*$I$6*(1-$J6)*Rampa!AE14</f>
        <v>20042.88</v>
      </c>
      <c r="AO6" s="16">
        <f>$F$6*$H$6*$I$6*(1-$J6)*Rampa!AF14</f>
        <v>20042.88</v>
      </c>
      <c r="AP6" s="16">
        <f>$F$6*$H$6*$I$6*(1-$J6)*Rampa!AG14</f>
        <v>20042.88</v>
      </c>
      <c r="AQ6" s="16">
        <f>$F$6*$H$6*$I$6*(1-$J6)*Rampa!AH14</f>
        <v>20042.88</v>
      </c>
      <c r="AR6" s="16">
        <f>$F$6*$H$6*$I$6*(1-$J6)*Rampa!AI14</f>
        <v>20042.88</v>
      </c>
      <c r="AS6" s="16">
        <f>$F$6*$H$6*$I$6*(1-$J6)*Rampa!AJ14</f>
        <v>20042.88</v>
      </c>
      <c r="AT6" s="17">
        <f>$F$6*$H$6*$I$6*(1-$J6)*Rampa!AK14</f>
        <v>20042.88</v>
      </c>
    </row>
    <row r="7" ht="12.0" customHeight="1">
      <c r="A7" s="1"/>
      <c r="B7" s="18"/>
      <c r="C7" s="19"/>
      <c r="D7" s="20" t="s">
        <v>50</v>
      </c>
      <c r="E7" s="21" t="s">
        <v>51</v>
      </c>
      <c r="F7" s="22">
        <v>172000.0</v>
      </c>
      <c r="G7" s="21" t="s">
        <v>52</v>
      </c>
      <c r="H7" s="23">
        <v>0.0255</v>
      </c>
      <c r="I7" s="21">
        <v>1.0</v>
      </c>
      <c r="J7" s="24">
        <v>0.05</v>
      </c>
      <c r="K7" s="25">
        <f>$F$7*$H$7*$I$7*(1-$J$7)*Rampa!B14</f>
        <v>4166.7</v>
      </c>
      <c r="L7" s="25">
        <f>$F$7*$H$7*$I$7*(1-$J$7)*Rampa!C14</f>
        <v>4166.7</v>
      </c>
      <c r="M7" s="25">
        <f>$F$7*$H$7*$I$7*(1-$J$7)*Rampa!D14</f>
        <v>4166.7</v>
      </c>
      <c r="N7" s="25">
        <f>$F$7*$H$7*$I$7*(1-$J$7)*Rampa!E14</f>
        <v>4166.7</v>
      </c>
      <c r="O7" s="25">
        <f>$F$7*$H$7*$I$7*(1-$J$7)*Rampa!F14</f>
        <v>4166.7</v>
      </c>
      <c r="P7" s="25">
        <f>$F$7*$H$7*$I$7*(1-$J$7)*Rampa!G14</f>
        <v>4166.7</v>
      </c>
      <c r="Q7" s="25">
        <f>$F$7*$H$7*$I$7*(1-$J$7)*Rampa!H14</f>
        <v>4166.7</v>
      </c>
      <c r="R7" s="25">
        <f>$F$7*$H$7*$I$7*(1-$J$7)*Rampa!I14</f>
        <v>4166.7</v>
      </c>
      <c r="S7" s="25">
        <f>$F$7*$H$7*$I$7*(1-$J$7)*Rampa!J14</f>
        <v>4166.7</v>
      </c>
      <c r="T7" s="25">
        <f>$F$7*$H$7*$I$7*(1-$J$7)*Rampa!K14</f>
        <v>4166.7</v>
      </c>
      <c r="U7" s="25">
        <f>$F$7*$H$7*$I$7*(1-$J$7)*Rampa!L14</f>
        <v>4166.7</v>
      </c>
      <c r="V7" s="25">
        <f>$F$7*$H$7*$I$7*(1-$J$7)*Rampa!M14</f>
        <v>4166.7</v>
      </c>
      <c r="W7" s="25">
        <f>$F$7*$H$7*$I$7*(1-$J$7)*Rampa!N14</f>
        <v>4166.7</v>
      </c>
      <c r="X7" s="25">
        <f>$F$7*$H$7*$I$7*(1-$J$7)*Rampa!O14</f>
        <v>4166.7</v>
      </c>
      <c r="Y7" s="25">
        <f>$F$7*$H$7*$I$7*(1-$J$7)*Rampa!P14</f>
        <v>4166.7</v>
      </c>
      <c r="Z7" s="25">
        <f>$F$7*$H$7*$I$7*(1-$J$7)*Rampa!Q14</f>
        <v>4166.7</v>
      </c>
      <c r="AA7" s="25">
        <f>$F$7*$H$7*$I$7*(1-$J$7)*Rampa!R14</f>
        <v>4166.7</v>
      </c>
      <c r="AB7" s="25">
        <f>$F$7*$H$7*$I$7*(1-$J$7)*Rampa!S14</f>
        <v>4166.7</v>
      </c>
      <c r="AC7" s="25">
        <f>$F$7*$H$7*$I$7*(1-$J$7)*Rampa!T14</f>
        <v>4166.7</v>
      </c>
      <c r="AD7" s="25">
        <f>$F$7*$H$7*$I$7*(1-$J$7)*Rampa!U14</f>
        <v>4166.7</v>
      </c>
      <c r="AE7" s="25">
        <f>$F$7*$H$7*$I$7*(1-$J$7)*Rampa!V14</f>
        <v>4166.7</v>
      </c>
      <c r="AF7" s="25">
        <f>$F$7*$H$7*$I$7*(1-$J$7)*Rampa!W14</f>
        <v>4166.7</v>
      </c>
      <c r="AG7" s="25">
        <f>$F$7*$H$7*$I$7*(1-$J$7)*Rampa!X14</f>
        <v>4166.7</v>
      </c>
      <c r="AH7" s="25">
        <f>$F$7*$H$7*$I$7*(1-$J$7)*Rampa!Y14</f>
        <v>4166.7</v>
      </c>
      <c r="AI7" s="25">
        <f>$F$7*$H$7*$I$7*(1-$J$7)*Rampa!Z14</f>
        <v>4166.7</v>
      </c>
      <c r="AJ7" s="25">
        <f>$F$7*$H$7*$I$7*(1-$J$7)*Rampa!AA14</f>
        <v>4166.7</v>
      </c>
      <c r="AK7" s="25">
        <f>$F$7*$H$7*$I$7*(1-$J$7)*Rampa!AB14</f>
        <v>4166.7</v>
      </c>
      <c r="AL7" s="25">
        <f>$F$7*$H$7*$I$7*(1-$J$7)*Rampa!AC14</f>
        <v>4166.7</v>
      </c>
      <c r="AM7" s="25">
        <f>$F$7*$H$7*$I$7*(1-$J$7)*Rampa!AD14</f>
        <v>4166.7</v>
      </c>
      <c r="AN7" s="25">
        <f>$F$7*$H$7*$I$7*(1-$J$7)*Rampa!AE14</f>
        <v>4166.7</v>
      </c>
      <c r="AO7" s="25">
        <f>$F$7*$H$7*$I$7*(1-$J$7)*Rampa!AF14</f>
        <v>4166.7</v>
      </c>
      <c r="AP7" s="25">
        <f>$F$7*$H$7*$I$7*(1-$J$7)*Rampa!AG14</f>
        <v>4166.7</v>
      </c>
      <c r="AQ7" s="25">
        <f>$F$7*$H$7*$I$7*(1-$J$7)*Rampa!AH14</f>
        <v>4166.7</v>
      </c>
      <c r="AR7" s="25">
        <f>$F$7*$H$7*$I$7*(1-$J$7)*Rampa!AI14</f>
        <v>4166.7</v>
      </c>
      <c r="AS7" s="25">
        <f>$F$7*$H$7*$I$7*(1-$J$7)*Rampa!AJ14</f>
        <v>4166.7</v>
      </c>
      <c r="AT7" s="26">
        <f>$F$7*$H$7*$I$7*(1-$J$7)*Rampa!AK14</f>
        <v>4166.7</v>
      </c>
    </row>
    <row r="8" ht="12.0" customHeight="1">
      <c r="A8" s="1"/>
      <c r="B8" s="18"/>
      <c r="C8" s="19"/>
      <c r="D8" s="20" t="s">
        <v>53</v>
      </c>
      <c r="E8" s="21" t="s">
        <v>54</v>
      </c>
      <c r="F8" s="22">
        <v>1720000.0</v>
      </c>
      <c r="G8" s="27" t="s">
        <v>55</v>
      </c>
      <c r="H8" s="23">
        <v>0.0017</v>
      </c>
      <c r="I8" s="21">
        <v>1.0</v>
      </c>
      <c r="J8" s="24">
        <v>0.05</v>
      </c>
      <c r="K8" s="25">
        <f>$F$8*$H$8*$I$8*(1-$J$8)*Rampa!B14</f>
        <v>2777.8</v>
      </c>
      <c r="L8" s="25">
        <f>$F$8*$H$8*$I$8*(1-$J$8)*Rampa!C14</f>
        <v>2777.8</v>
      </c>
      <c r="M8" s="25">
        <f>$F$8*$H$8*$I$8*(1-$J$8)*Rampa!D14</f>
        <v>2777.8</v>
      </c>
      <c r="N8" s="25">
        <f>$F$8*$H$8*$I$8*(1-$J$8)*Rampa!E14</f>
        <v>2777.8</v>
      </c>
      <c r="O8" s="25">
        <f>$F$8*$H$8*$I$8*(1-$J$8)*Rampa!F14</f>
        <v>2777.8</v>
      </c>
      <c r="P8" s="25">
        <f>$F$8*$H$8*$I$8*(1-$J$8)*Rampa!G14</f>
        <v>2777.8</v>
      </c>
      <c r="Q8" s="25">
        <f>$F$8*$H$8*$I$8*(1-$J$8)*Rampa!H14</f>
        <v>2777.8</v>
      </c>
      <c r="R8" s="25">
        <f>$F$8*$H$8*$I$8*(1-$J$8)*Rampa!I14</f>
        <v>2777.8</v>
      </c>
      <c r="S8" s="25">
        <f>$F$8*$H$8*$I$8*(1-$J$8)*Rampa!J14</f>
        <v>2777.8</v>
      </c>
      <c r="T8" s="25">
        <f>$F$8*$H$8*$I$8*(1-$J$8)*Rampa!K14</f>
        <v>2777.8</v>
      </c>
      <c r="U8" s="25">
        <f>$F$8*$H$8*$I$8*(1-$J$8)*Rampa!L14</f>
        <v>2777.8</v>
      </c>
      <c r="V8" s="25">
        <f>$F$8*$H$8*$I$8*(1-$J$8)*Rampa!M14</f>
        <v>2777.8</v>
      </c>
      <c r="W8" s="25">
        <f>$F$8*$H$8*$I$8*(1-$J$8)*Rampa!N14</f>
        <v>2777.8</v>
      </c>
      <c r="X8" s="25">
        <f>$F$8*$H$8*$I$8*(1-$J$8)*Rampa!O14</f>
        <v>2777.8</v>
      </c>
      <c r="Y8" s="25">
        <f>$F$8*$H$8*$I$8*(1-$J$8)*Rampa!P14</f>
        <v>2777.8</v>
      </c>
      <c r="Z8" s="25">
        <f>$F$8*$H$8*$I$8*(1-$J$8)*Rampa!Q14</f>
        <v>2777.8</v>
      </c>
      <c r="AA8" s="25">
        <f>$F$8*$H$8*$I$8*(1-$J$8)*Rampa!R14</f>
        <v>2777.8</v>
      </c>
      <c r="AB8" s="25">
        <f>$F$8*$H$8*$I$8*(1-$J$8)*Rampa!S14</f>
        <v>2777.8</v>
      </c>
      <c r="AC8" s="25">
        <f>$F$8*$H$8*$I$8*(1-$J$8)*Rampa!T14</f>
        <v>2777.8</v>
      </c>
      <c r="AD8" s="25">
        <f>$F$8*$H$8*$I$8*(1-$J$8)*Rampa!U14</f>
        <v>2777.8</v>
      </c>
      <c r="AE8" s="25">
        <f>$F$8*$H$8*$I$8*(1-$J$8)*Rampa!V14</f>
        <v>2777.8</v>
      </c>
      <c r="AF8" s="25">
        <f>$F$8*$H$8*$I$8*(1-$J$8)*Rampa!W14</f>
        <v>2777.8</v>
      </c>
      <c r="AG8" s="25">
        <f>$F$8*$H$8*$I$8*(1-$J$8)*Rampa!X14</f>
        <v>2777.8</v>
      </c>
      <c r="AH8" s="25">
        <f>$F$8*$H$8*$I$8*(1-$J$8)*Rampa!Y14</f>
        <v>2777.8</v>
      </c>
      <c r="AI8" s="25">
        <f>$F$8*$H$8*$I$8*(1-$J$8)*Rampa!Z14</f>
        <v>2777.8</v>
      </c>
      <c r="AJ8" s="25">
        <f>$F$8*$H$8*$I$8*(1-$J$8)*Rampa!AA14</f>
        <v>2777.8</v>
      </c>
      <c r="AK8" s="25">
        <f>$F$8*$H$8*$I$8*(1-$J$8)*Rampa!AB14</f>
        <v>2777.8</v>
      </c>
      <c r="AL8" s="25">
        <f>$F$8*$H$8*$I$8*(1-$J$8)*Rampa!AC14</f>
        <v>2777.8</v>
      </c>
      <c r="AM8" s="25">
        <f>$F$8*$H$8*$I$8*(1-$J$8)*Rampa!AD14</f>
        <v>2777.8</v>
      </c>
      <c r="AN8" s="25">
        <f>$F$8*$H$8*$I$8*(1-$J$8)*Rampa!AE14</f>
        <v>2777.8</v>
      </c>
      <c r="AO8" s="25">
        <f>$F$8*$H$8*$I$8*(1-$J$8)*Rampa!AF14</f>
        <v>2777.8</v>
      </c>
      <c r="AP8" s="25">
        <f>$F$8*$H$8*$I$8*(1-$J$8)*Rampa!AG14</f>
        <v>2777.8</v>
      </c>
      <c r="AQ8" s="25">
        <f>$F$8*$H$8*$I$8*(1-$J$8)*Rampa!AH14</f>
        <v>2777.8</v>
      </c>
      <c r="AR8" s="25">
        <f>$F$8*$H$8*$I$8*(1-$J$8)*Rampa!AI14</f>
        <v>2777.8</v>
      </c>
      <c r="AS8" s="25">
        <f>$F$8*$H$8*$I$8*(1-$J$8)*Rampa!AJ14</f>
        <v>2777.8</v>
      </c>
      <c r="AT8" s="26">
        <f>$F$8*$H$8*$I$8*(1-$J$8)*Rampa!AK14</f>
        <v>2777.8</v>
      </c>
    </row>
    <row r="9" ht="12.0" customHeight="1">
      <c r="A9" s="1"/>
      <c r="B9" s="18"/>
      <c r="C9" s="19"/>
      <c r="D9" s="20" t="s">
        <v>56</v>
      </c>
      <c r="E9" s="21" t="s">
        <v>57</v>
      </c>
      <c r="F9" s="22">
        <v>50000.0</v>
      </c>
      <c r="G9" s="21" t="s">
        <v>52</v>
      </c>
      <c r="H9" s="23">
        <v>0.0255</v>
      </c>
      <c r="I9" s="21">
        <v>1.0</v>
      </c>
      <c r="J9" s="24">
        <v>0.05</v>
      </c>
      <c r="K9" s="25">
        <f>$F$9*$H$9*$I$9*(1-$J$9)*Rampa!B14</f>
        <v>1211.25</v>
      </c>
      <c r="L9" s="25">
        <f>$F$9*$H$9*$I$9*(1-$J$9)*Rampa!C14</f>
        <v>1211.25</v>
      </c>
      <c r="M9" s="25">
        <f>$F$9*$H$9*$I$9*(1-$J$9)*Rampa!D14</f>
        <v>1211.25</v>
      </c>
      <c r="N9" s="25">
        <f>$F$9*$H$9*$I$9*(1-$J$9)*Rampa!E14</f>
        <v>1211.25</v>
      </c>
      <c r="O9" s="25">
        <f>$F$9*$H$9*$I$9*(1-$J$9)*Rampa!F14</f>
        <v>1211.25</v>
      </c>
      <c r="P9" s="25">
        <f>$F$9*$H$9*$I$9*(1-$J$9)*Rampa!G14</f>
        <v>1211.25</v>
      </c>
      <c r="Q9" s="25">
        <f>$F$9*$H$9*$I$9*(1-$J$9)*Rampa!H14</f>
        <v>1211.25</v>
      </c>
      <c r="R9" s="25">
        <f>$F$9*$H$9*$I$9*(1-$J$9)*Rampa!I14</f>
        <v>1211.25</v>
      </c>
      <c r="S9" s="25">
        <f>$F$9*$H$9*$I$9*(1-$J$9)*Rampa!J14</f>
        <v>1211.25</v>
      </c>
      <c r="T9" s="25">
        <f>$F$9*$H$9*$I$9*(1-$J$9)*Rampa!K14</f>
        <v>1211.25</v>
      </c>
      <c r="U9" s="25">
        <f>$F$9*$H$9*$I$9*(1-$J$9)*Rampa!L14</f>
        <v>1211.25</v>
      </c>
      <c r="V9" s="25">
        <f>$F$9*$H$9*$I$9*(1-$J$9)*Rampa!M14</f>
        <v>1211.25</v>
      </c>
      <c r="W9" s="25">
        <f>$F$9*$H$9*$I$9*(1-$J$9)*Rampa!N14</f>
        <v>1211.25</v>
      </c>
      <c r="X9" s="25">
        <f>$F$9*$H$9*$I$9*(1-$J$9)*Rampa!O14</f>
        <v>1211.25</v>
      </c>
      <c r="Y9" s="25">
        <f>$F$9*$H$9*$I$9*(1-$J$9)*Rampa!P14</f>
        <v>1211.25</v>
      </c>
      <c r="Z9" s="25">
        <f>$F$9*$H$9*$I$9*(1-$J$9)*Rampa!Q14</f>
        <v>1211.25</v>
      </c>
      <c r="AA9" s="25">
        <f>$F$9*$H$9*$I$9*(1-$J$9)*Rampa!R14</f>
        <v>1211.25</v>
      </c>
      <c r="AB9" s="25">
        <f>$F$9*$H$9*$I$9*(1-$J$9)*Rampa!S14</f>
        <v>1211.25</v>
      </c>
      <c r="AC9" s="25">
        <f>$F$9*$H$9*$I$9*(1-$J$9)*Rampa!T14</f>
        <v>1211.25</v>
      </c>
      <c r="AD9" s="25">
        <f>$F$9*$H$9*$I$9*(1-$J$9)*Rampa!U14</f>
        <v>1211.25</v>
      </c>
      <c r="AE9" s="25">
        <f>$F$9*$H$9*$I$9*(1-$J$9)*Rampa!V14</f>
        <v>1211.25</v>
      </c>
      <c r="AF9" s="25">
        <f>$F$9*$H$9*$I$9*(1-$J$9)*Rampa!W14</f>
        <v>1211.25</v>
      </c>
      <c r="AG9" s="25">
        <f>$F$9*$H$9*$I$9*(1-$J$9)*Rampa!X14</f>
        <v>1211.25</v>
      </c>
      <c r="AH9" s="25">
        <f>$F$9*$H$9*$I$9*(1-$J$9)*Rampa!Y14</f>
        <v>1211.25</v>
      </c>
      <c r="AI9" s="25">
        <f>$F$9*$H$9*$I$9*(1-$J$9)*Rampa!Z14</f>
        <v>1211.25</v>
      </c>
      <c r="AJ9" s="25">
        <f>$F$9*$H$9*$I$9*(1-$J$9)*Rampa!AA14</f>
        <v>1211.25</v>
      </c>
      <c r="AK9" s="25">
        <f>$F$9*$H$9*$I$9*(1-$J$9)*Rampa!AB14</f>
        <v>1211.25</v>
      </c>
      <c r="AL9" s="25">
        <f>$F$9*$H$9*$I$9*(1-$J$9)*Rampa!AC14</f>
        <v>1211.25</v>
      </c>
      <c r="AM9" s="25">
        <f>$F$9*$H$9*$I$9*(1-$J$9)*Rampa!AD14</f>
        <v>1211.25</v>
      </c>
      <c r="AN9" s="25">
        <f>$F$9*$H$9*$I$9*(1-$J$9)*Rampa!AE14</f>
        <v>1211.25</v>
      </c>
      <c r="AO9" s="25">
        <f>$F$9*$H$9*$I$9*(1-$J$9)*Rampa!AF14</f>
        <v>1211.25</v>
      </c>
      <c r="AP9" s="25">
        <f>$F$9*$H$9*$I$9*(1-$J$9)*Rampa!AG14</f>
        <v>1211.25</v>
      </c>
      <c r="AQ9" s="25">
        <f>$F$9*$H$9*$I$9*(1-$J$9)*Rampa!AH14</f>
        <v>1211.25</v>
      </c>
      <c r="AR9" s="25">
        <f>$F$9*$H$9*$I$9*(1-$J$9)*Rampa!AI14</f>
        <v>1211.25</v>
      </c>
      <c r="AS9" s="25">
        <f>$F$9*$H$9*$I$9*(1-$J$9)*Rampa!AJ14</f>
        <v>1211.25</v>
      </c>
      <c r="AT9" s="26">
        <f>$F$9*$H$9*$I$9*(1-$J$9)*Rampa!AK14</f>
        <v>1211.25</v>
      </c>
    </row>
    <row r="10" ht="12.0" customHeight="1">
      <c r="A10" s="1"/>
      <c r="B10" s="18"/>
      <c r="C10" s="19"/>
      <c r="D10" s="20" t="s">
        <v>58</v>
      </c>
      <c r="E10" s="21" t="s">
        <v>59</v>
      </c>
      <c r="F10" s="22">
        <v>75000.0</v>
      </c>
      <c r="G10" s="21" t="s">
        <v>52</v>
      </c>
      <c r="H10" s="23">
        <v>0.01</v>
      </c>
      <c r="I10" s="21">
        <v>1.0</v>
      </c>
      <c r="J10" s="24">
        <v>0.05</v>
      </c>
      <c r="K10" s="25">
        <f>$F$10*$H$10*$I$10*(1-$J$10)*Rampa!B14</f>
        <v>712.5</v>
      </c>
      <c r="L10" s="25">
        <f>$F$10*$H$10*$I$10*(1-$J$10)*Rampa!C14</f>
        <v>712.5</v>
      </c>
      <c r="M10" s="25">
        <f>$F$10*$H$10*$I$10*(1-$J$10)*Rampa!D14</f>
        <v>712.5</v>
      </c>
      <c r="N10" s="25">
        <f>$F$10*$H$10*$I$10*(1-$J$10)*Rampa!E14</f>
        <v>712.5</v>
      </c>
      <c r="O10" s="25">
        <f>$F$10*$H$10*$I$10*(1-$J$10)*Rampa!F14</f>
        <v>712.5</v>
      </c>
      <c r="P10" s="25">
        <f>$F$10*$H$10*$I$10*(1-$J$10)*Rampa!G14</f>
        <v>712.5</v>
      </c>
      <c r="Q10" s="25">
        <f>$F$10*$H$10*$I$10*(1-$J$10)*Rampa!H14</f>
        <v>712.5</v>
      </c>
      <c r="R10" s="25">
        <f>$F$10*$H$10*$I$10*(1-$J$10)*Rampa!I14</f>
        <v>712.5</v>
      </c>
      <c r="S10" s="25">
        <f>$F$10*$H$10*$I$10*(1-$J$10)*Rampa!J14</f>
        <v>712.5</v>
      </c>
      <c r="T10" s="25">
        <f>$F$10*$H$10*$I$10*(1-$J$10)*Rampa!K14</f>
        <v>712.5</v>
      </c>
      <c r="U10" s="25">
        <f>$F$10*$H$10*$I$10*(1-$J$10)*Rampa!L14</f>
        <v>712.5</v>
      </c>
      <c r="V10" s="25">
        <f>$F$10*$H$10*$I$10*(1-$J$10)*Rampa!M14</f>
        <v>712.5</v>
      </c>
      <c r="W10" s="25">
        <f>$F$10*$H$10*$I$10*(1-$J$10)*Rampa!N14</f>
        <v>712.5</v>
      </c>
      <c r="X10" s="25">
        <f>$F$10*$H$10*$I$10*(1-$J$10)*Rampa!O14</f>
        <v>712.5</v>
      </c>
      <c r="Y10" s="25">
        <f>$F$10*$H$10*$I$10*(1-$J$10)*Rampa!P14</f>
        <v>712.5</v>
      </c>
      <c r="Z10" s="25">
        <f>$F$10*$H$10*$I$10*(1-$J$10)*Rampa!Q14</f>
        <v>712.5</v>
      </c>
      <c r="AA10" s="25">
        <f>$F$10*$H$10*$I$10*(1-$J$10)*Rampa!R14</f>
        <v>712.5</v>
      </c>
      <c r="AB10" s="25">
        <f>$F$10*$H$10*$I$10*(1-$J$10)*Rampa!S14</f>
        <v>712.5</v>
      </c>
      <c r="AC10" s="25">
        <f>$F$10*$H$10*$I$10*(1-$J$10)*Rampa!T14</f>
        <v>712.5</v>
      </c>
      <c r="AD10" s="25">
        <f>$F$10*$H$10*$I$10*(1-$J$10)*Rampa!U14</f>
        <v>712.5</v>
      </c>
      <c r="AE10" s="25">
        <f>$F$10*$H$10*$I$10*(1-$J$10)*Rampa!V14</f>
        <v>712.5</v>
      </c>
      <c r="AF10" s="25">
        <f>$F$10*$H$10*$I$10*(1-$J$10)*Rampa!W14</f>
        <v>712.5</v>
      </c>
      <c r="AG10" s="25">
        <f>$F$10*$H$10*$I$10*(1-$J$10)*Rampa!X14</f>
        <v>712.5</v>
      </c>
      <c r="AH10" s="25">
        <f>$F$10*$H$10*$I$10*(1-$J$10)*Rampa!Y14</f>
        <v>712.5</v>
      </c>
      <c r="AI10" s="25">
        <f>$F$10*$H$10*$I$10*(1-$J$10)*Rampa!Z14</f>
        <v>712.5</v>
      </c>
      <c r="AJ10" s="25">
        <f>$F$10*$H$10*$I$10*(1-$J$10)*Rampa!AA14</f>
        <v>712.5</v>
      </c>
      <c r="AK10" s="25">
        <f>$F$10*$H$10*$I$10*(1-$J$10)*Rampa!AB14</f>
        <v>712.5</v>
      </c>
      <c r="AL10" s="25">
        <f>$F$10*$H$10*$I$10*(1-$J$10)*Rampa!AC14</f>
        <v>712.5</v>
      </c>
      <c r="AM10" s="25">
        <f>$F$10*$H$10*$I$10*(1-$J$10)*Rampa!AD14</f>
        <v>712.5</v>
      </c>
      <c r="AN10" s="25">
        <f>$F$10*$H$10*$I$10*(1-$J$10)*Rampa!AE14</f>
        <v>712.5</v>
      </c>
      <c r="AO10" s="25">
        <f>$F$10*$H$10*$I$10*(1-$J$10)*Rampa!AF14</f>
        <v>712.5</v>
      </c>
      <c r="AP10" s="25">
        <f>$F$10*$H$10*$I$10*(1-$J$10)*Rampa!AG14</f>
        <v>712.5</v>
      </c>
      <c r="AQ10" s="25">
        <f>$F$10*$H$10*$I$10*(1-$J$10)*Rampa!AH14</f>
        <v>712.5</v>
      </c>
      <c r="AR10" s="25">
        <f>$F$10*$H$10*$I$10*(1-$J$10)*Rampa!AI14</f>
        <v>712.5</v>
      </c>
      <c r="AS10" s="25">
        <f>$F$10*$H$10*$I$10*(1-$J$10)*Rampa!AJ14</f>
        <v>712.5</v>
      </c>
      <c r="AT10" s="26">
        <f>$F$10*$H$10*$I$10*(1-$J$10)*Rampa!AK14</f>
        <v>712.5</v>
      </c>
    </row>
    <row r="11" ht="12.0" customHeight="1">
      <c r="A11" s="1"/>
      <c r="B11" s="18"/>
      <c r="C11" s="28"/>
      <c r="D11" s="20" t="s">
        <v>60</v>
      </c>
      <c r="E11" s="21" t="s">
        <v>61</v>
      </c>
      <c r="F11" s="22">
        <f>ROUNDUP(F9*0.01,0)</f>
        <v>500</v>
      </c>
      <c r="G11" s="21" t="s">
        <v>62</v>
      </c>
      <c r="H11" s="23">
        <v>0.0034</v>
      </c>
      <c r="I11" s="21">
        <v>1.0</v>
      </c>
      <c r="J11" s="24">
        <v>0.05</v>
      </c>
      <c r="K11" s="25">
        <f>$F$11*$H$11*$I$11*(1-$J$11)*Rampa!B14</f>
        <v>1.615</v>
      </c>
      <c r="L11" s="25">
        <f>$F$11*$H$11*$I$11*(1-$J$11)*Rampa!C14</f>
        <v>1.615</v>
      </c>
      <c r="M11" s="25">
        <f>$F$11*$H$11*$I$11*(1-$J$11)*Rampa!D14</f>
        <v>1.615</v>
      </c>
      <c r="N11" s="25">
        <f>$F$11*$H$11*$I$11*(1-$J$11)*Rampa!E14</f>
        <v>1.615</v>
      </c>
      <c r="O11" s="25">
        <f>$F$11*$H$11*$I$11*(1-$J$11)*Rampa!F14</f>
        <v>1.615</v>
      </c>
      <c r="P11" s="25">
        <f>$F$11*$H$11*$I$11*(1-$J$11)*Rampa!G14</f>
        <v>1.615</v>
      </c>
      <c r="Q11" s="25">
        <f>$F$11*$H$11*$I$11*(1-$J$11)*Rampa!H14</f>
        <v>1.615</v>
      </c>
      <c r="R11" s="25">
        <f>$F$11*$H$11*$I$11*(1-$J$11)*Rampa!I14</f>
        <v>1.615</v>
      </c>
      <c r="S11" s="25">
        <f>$F$11*$H$11*$I$11*(1-$J$11)*Rampa!J14</f>
        <v>1.615</v>
      </c>
      <c r="T11" s="25">
        <f>$F$11*$H$11*$I$11*(1-$J$11)*Rampa!K14</f>
        <v>1.615</v>
      </c>
      <c r="U11" s="25">
        <f>$F$11*$H$11*$I$11*(1-$J$11)*Rampa!L14</f>
        <v>1.615</v>
      </c>
      <c r="V11" s="25">
        <f>$F$11*$H$11*$I$11*(1-$J$11)*Rampa!M14</f>
        <v>1.615</v>
      </c>
      <c r="W11" s="25">
        <f>$F$11*$H$11*$I$11*(1-$J$11)*Rampa!N14</f>
        <v>1.615</v>
      </c>
      <c r="X11" s="25">
        <f>$F$11*$H$11*$I$11*(1-$J$11)*Rampa!O14</f>
        <v>1.615</v>
      </c>
      <c r="Y11" s="25">
        <f>$F$11*$H$11*$I$11*(1-$J$11)*Rampa!P14</f>
        <v>1.615</v>
      </c>
      <c r="Z11" s="25">
        <f>$F$11*$H$11*$I$11*(1-$J$11)*Rampa!Q14</f>
        <v>1.615</v>
      </c>
      <c r="AA11" s="25">
        <f>$F$11*$H$11*$I$11*(1-$J$11)*Rampa!R14</f>
        <v>1.615</v>
      </c>
      <c r="AB11" s="25">
        <f>$F$11*$H$11*$I$11*(1-$J$11)*Rampa!S14</f>
        <v>1.615</v>
      </c>
      <c r="AC11" s="25">
        <f>$F$11*$H$11*$I$11*(1-$J$11)*Rampa!T14</f>
        <v>1.615</v>
      </c>
      <c r="AD11" s="25">
        <f>$F$11*$H$11*$I$11*(1-$J$11)*Rampa!U14</f>
        <v>1.615</v>
      </c>
      <c r="AE11" s="25">
        <f>$F$11*$H$11*$I$11*(1-$J$11)*Rampa!V14</f>
        <v>1.615</v>
      </c>
      <c r="AF11" s="25">
        <f>$F$11*$H$11*$I$11*(1-$J$11)*Rampa!W14</f>
        <v>1.615</v>
      </c>
      <c r="AG11" s="25">
        <f>$F$11*$H$11*$I$11*(1-$J$11)*Rampa!X14</f>
        <v>1.615</v>
      </c>
      <c r="AH11" s="25">
        <f>$F$11*$H$11*$I$11*(1-$J$11)*Rampa!Y14</f>
        <v>1.615</v>
      </c>
      <c r="AI11" s="25">
        <f>$F$11*$H$11*$I$11*(1-$J$11)*Rampa!Z14</f>
        <v>1.615</v>
      </c>
      <c r="AJ11" s="25">
        <f>$F$11*$H$11*$I$11*(1-$J$11)*Rampa!AA14</f>
        <v>1.615</v>
      </c>
      <c r="AK11" s="25">
        <f>$F$11*$H$11*$I$11*(1-$J$11)*Rampa!AB14</f>
        <v>1.615</v>
      </c>
      <c r="AL11" s="25">
        <f>$F$11*$H$11*$I$11*(1-$J$11)*Rampa!AC14</f>
        <v>1.615</v>
      </c>
      <c r="AM11" s="25">
        <f>$F$11*$H$11*$I$11*(1-$J$11)*Rampa!AD14</f>
        <v>1.615</v>
      </c>
      <c r="AN11" s="25">
        <f>$F$11*$H$11*$I$11*(1-$J$11)*Rampa!AE14</f>
        <v>1.615</v>
      </c>
      <c r="AO11" s="25">
        <f>$F$11*$H$11*$I$11*(1-$J$11)*Rampa!AF14</f>
        <v>1.615</v>
      </c>
      <c r="AP11" s="25">
        <f>$F$11*$H$11*$I$11*(1-$J$11)*Rampa!AG14</f>
        <v>1.615</v>
      </c>
      <c r="AQ11" s="25">
        <f>$F$11*$H$11*$I$11*(1-$J$11)*Rampa!AH14</f>
        <v>1.615</v>
      </c>
      <c r="AR11" s="25">
        <f>$F$11*$H$11*$I$11*(1-$J$11)*Rampa!AI14</f>
        <v>1.615</v>
      </c>
      <c r="AS11" s="25">
        <f>$F$11*$H$11*$I$11*(1-$J$11)*Rampa!AJ14</f>
        <v>1.615</v>
      </c>
      <c r="AT11" s="26">
        <f>$F$11*$H$11*$I$11*(1-$J$11)*Rampa!AK14</f>
        <v>1.615</v>
      </c>
    </row>
    <row r="12" ht="12.0" customHeight="1">
      <c r="A12" s="1"/>
      <c r="B12" s="29"/>
      <c r="C12" s="30" t="s">
        <v>63</v>
      </c>
      <c r="D12" s="31" t="s">
        <v>64</v>
      </c>
      <c r="E12" s="32" t="s">
        <v>65</v>
      </c>
      <c r="F12" s="31">
        <v>2.0</v>
      </c>
      <c r="G12" s="32" t="s">
        <v>66</v>
      </c>
      <c r="H12" s="33">
        <v>1.275</v>
      </c>
      <c r="I12" s="32">
        <f>$I$3</f>
        <v>730</v>
      </c>
      <c r="J12" s="34">
        <v>0.05</v>
      </c>
      <c r="K12" s="35">
        <f>$F$12*$H$12*$I$12*(1-$J$12)*Rampa!B20</f>
        <v>0</v>
      </c>
      <c r="L12" s="35">
        <f>$F$12*$H$12*$I$12*(1-$J$12)*Rampa!C20</f>
        <v>1768.425</v>
      </c>
      <c r="M12" s="35">
        <f>$F$12*$H$12*$I$12*(1-$J$12)*Rampa!D20</f>
        <v>1768.425</v>
      </c>
      <c r="N12" s="35">
        <f>$F$12*$H$12*$I$12*(1-$J$12)*Rampa!E20</f>
        <v>1768.425</v>
      </c>
      <c r="O12" s="35">
        <f>$F$12*$H$12*$I$12*(1-$J$12)*Rampa!F20</f>
        <v>1768.425</v>
      </c>
      <c r="P12" s="35">
        <f>$F$12*$H$12*$I$12*(1-$J$12)*Rampa!G20</f>
        <v>1768.425</v>
      </c>
      <c r="Q12" s="35">
        <f>$F$12*$H$12*$I$12*(1-$J$12)*Rampa!H20</f>
        <v>1768.425</v>
      </c>
      <c r="R12" s="35">
        <f>$F$12*$H$12*$I$12*(1-$J$12)*Rampa!I20</f>
        <v>1768.425</v>
      </c>
      <c r="S12" s="35">
        <f>$F$12*$H$12*$I$12*(1-$J$12)*Rampa!J20</f>
        <v>1768.425</v>
      </c>
      <c r="T12" s="35">
        <f>$F$12*$H$12*$I$12*(1-$J$12)*Rampa!K20</f>
        <v>1768.425</v>
      </c>
      <c r="U12" s="35">
        <f>$F$12*$H$12*$I$12*(1-$J$12)*Rampa!L20</f>
        <v>1768.425</v>
      </c>
      <c r="V12" s="35">
        <f>$F$12*$H$12*$I$12*(1-$J$12)*Rampa!M20</f>
        <v>1768.425</v>
      </c>
      <c r="W12" s="35">
        <f>$F$12*$H$12*$I$12*(1-$J$12)*Rampa!N20</f>
        <v>1768.425</v>
      </c>
      <c r="X12" s="35">
        <f>$F$12*$H$12*$I$12*(1-$J$12)*Rampa!O20</f>
        <v>1768.425</v>
      </c>
      <c r="Y12" s="35">
        <f>$F$12*$H$12*$I$12*(1-$J$12)*Rampa!P20</f>
        <v>1768.425</v>
      </c>
      <c r="Z12" s="35">
        <f>$F$12*$H$12*$I$12*(1-$J$12)*Rampa!Q20</f>
        <v>1768.425</v>
      </c>
      <c r="AA12" s="35">
        <f>$F$12*$H$12*$I$12*(1-$J$12)*Rampa!R20</f>
        <v>1768.425</v>
      </c>
      <c r="AB12" s="35">
        <f>$F$12*$H$12*$I$12*(1-$J$12)*Rampa!S20</f>
        <v>1768.425</v>
      </c>
      <c r="AC12" s="35">
        <f>$F$12*$H$12*$I$12*(1-$J$12)*Rampa!T20</f>
        <v>1768.425</v>
      </c>
      <c r="AD12" s="35">
        <f>$F$12*$H$12*$I$12*(1-$J$12)*Rampa!U20</f>
        <v>1768.425</v>
      </c>
      <c r="AE12" s="35">
        <f>$F$12*$H$12*$I$12*(1-$J$12)*Rampa!V20</f>
        <v>1768.425</v>
      </c>
      <c r="AF12" s="35">
        <f>$F$12*$H$12*$I$12*(1-$J$12)*Rampa!W20</f>
        <v>1768.425</v>
      </c>
      <c r="AG12" s="35">
        <f>$F$12*$H$12*$I$12*(1-$J$12)*Rampa!X20</f>
        <v>1768.425</v>
      </c>
      <c r="AH12" s="35">
        <f>$F$12*$H$12*$I$12*(1-$J$12)*Rampa!Y20</f>
        <v>1768.425</v>
      </c>
      <c r="AI12" s="35">
        <f>$F$12*$H$12*$I$12*(1-$J$12)*Rampa!Z20</f>
        <v>1768.425</v>
      </c>
      <c r="AJ12" s="35">
        <f>$F$12*$H$12*$I$12*(1-$J$12)*Rampa!AA20</f>
        <v>1768.425</v>
      </c>
      <c r="AK12" s="35">
        <f>$F$12*$H$12*$I$12*(1-$J$12)*Rampa!AB20</f>
        <v>1768.425</v>
      </c>
      <c r="AL12" s="35">
        <f>$F$12*$H$12*$I$12*(1-$J$12)*Rampa!AC20</f>
        <v>1768.425</v>
      </c>
      <c r="AM12" s="35">
        <f>$F$12*$H$12*$I$12*(1-$J$12)*Rampa!AD20</f>
        <v>1768.425</v>
      </c>
      <c r="AN12" s="35">
        <f>$F$12*$H$12*$I$12*(1-$J$12)*Rampa!AE20</f>
        <v>1768.425</v>
      </c>
      <c r="AO12" s="35">
        <f>$F$12*$H$12*$I$12*(1-$J$12)*Rampa!AF20</f>
        <v>1768.425</v>
      </c>
      <c r="AP12" s="35">
        <f>$F$12*$H$12*$I$12*(1-$J$12)*Rampa!AG20</f>
        <v>1768.425</v>
      </c>
      <c r="AQ12" s="35">
        <f>$F$12*$H$12*$I$12*(1-$J$12)*Rampa!AH20</f>
        <v>1768.425</v>
      </c>
      <c r="AR12" s="35">
        <f>$F$12*$H$12*$I$12*(1-$J$12)*Rampa!AI20</f>
        <v>1768.425</v>
      </c>
      <c r="AS12" s="35">
        <f>$F$12*$H$12*$I$12*(1-$J$12)*Rampa!AJ20</f>
        <v>1768.425</v>
      </c>
      <c r="AT12" s="36">
        <f>$F$12*$H$12*$I$12*(1-$J$12)*Rampa!AK20</f>
        <v>1768.425</v>
      </c>
    </row>
    <row r="13" ht="12.0" customHeight="1">
      <c r="A13" s="1"/>
      <c r="B13" s="9" t="s">
        <v>67</v>
      </c>
      <c r="C13" s="10" t="s">
        <v>68</v>
      </c>
      <c r="D13" s="37" t="s">
        <v>69</v>
      </c>
      <c r="E13" s="38" t="s">
        <v>70</v>
      </c>
      <c r="F13" s="37">
        <v>1.0</v>
      </c>
      <c r="G13" s="38" t="s">
        <v>71</v>
      </c>
      <c r="H13" s="14">
        <v>0.1</v>
      </c>
      <c r="I13" s="12">
        <v>730.0</v>
      </c>
      <c r="J13" s="15">
        <v>0.05</v>
      </c>
      <c r="K13" s="16">
        <f>$F$13*$H$13*$I$13*(1-$J$13)*Rampa!B15</f>
        <v>0</v>
      </c>
      <c r="L13" s="16">
        <f>$F$13*$H$13*$I$13*(1-$J$13)*Rampa!C15</f>
        <v>69.35</v>
      </c>
      <c r="M13" s="16">
        <f>$F$13*$H$13*$I$13*(1-$J$13)*Rampa!D15</f>
        <v>69.35</v>
      </c>
      <c r="N13" s="16">
        <f>$F$13*$H$13*$I$13*(1-$J$13)*Rampa!E15</f>
        <v>69.35</v>
      </c>
      <c r="O13" s="16">
        <f>$F$13*$H$13*$I$13*(1-$J$13)*Rampa!F15</f>
        <v>69.35</v>
      </c>
      <c r="P13" s="16">
        <f>$F$13*$H$13*$I$13*(1-$J$13)*Rampa!G15</f>
        <v>69.35</v>
      </c>
      <c r="Q13" s="16">
        <f>$F$13*$H$13*$I$13*(1-$J$13)*Rampa!H15</f>
        <v>69.35</v>
      </c>
      <c r="R13" s="16">
        <f>$F$13*$H$13*$I$13*(1-$J$13)*Rampa!I15</f>
        <v>69.35</v>
      </c>
      <c r="S13" s="16">
        <f>$F$13*$H$13*$I$13*(1-$J$13)*Rampa!J15</f>
        <v>69.35</v>
      </c>
      <c r="T13" s="16">
        <f>$F$13*$H$13*$I$13*(1-$J$13)*Rampa!K15</f>
        <v>69.35</v>
      </c>
      <c r="U13" s="16">
        <f>$F$13*$H$13*$I$13*(1-$J$13)*Rampa!L15</f>
        <v>69.35</v>
      </c>
      <c r="V13" s="16">
        <f>$F$13*$H$13*$I$13*(1-$J$13)*Rampa!M15</f>
        <v>69.35</v>
      </c>
      <c r="W13" s="16">
        <f>$F$13*$H$13*$I$13*(1-$J$13)*Rampa!N15</f>
        <v>69.35</v>
      </c>
      <c r="X13" s="16">
        <f>$F$13*$H$13*$I$13*(1-$J$13)*Rampa!O15</f>
        <v>69.35</v>
      </c>
      <c r="Y13" s="16">
        <f>$F$13*$H$13*$I$13*(1-$J$13)*Rampa!P15</f>
        <v>69.35</v>
      </c>
      <c r="Z13" s="16">
        <f>$F$13*$H$13*$I$13*(1-$J$13)*Rampa!Q15</f>
        <v>69.35</v>
      </c>
      <c r="AA13" s="16">
        <f>$F$13*$H$13*$I$13*(1-$J$13)*Rampa!R15</f>
        <v>69.35</v>
      </c>
      <c r="AB13" s="16">
        <f>$F$13*$H$13*$I$13*(1-$J$13)*Rampa!S15</f>
        <v>69.35</v>
      </c>
      <c r="AC13" s="16">
        <f>$F$13*$H$13*$I$13*(1-$J$13)*Rampa!T15</f>
        <v>69.35</v>
      </c>
      <c r="AD13" s="16">
        <f>$F$13*$H$13*$I$13*(1-$J$13)*Rampa!U15</f>
        <v>69.35</v>
      </c>
      <c r="AE13" s="16">
        <f>$F$13*$H$13*$I$13*(1-$J$13)*Rampa!V15</f>
        <v>69.35</v>
      </c>
      <c r="AF13" s="16">
        <f>$F$13*$H$13*$I$13*(1-$J$13)*Rampa!W15</f>
        <v>69.35</v>
      </c>
      <c r="AG13" s="16">
        <f>$F$13*$H$13*$I$13*(1-$J$13)*Rampa!X15</f>
        <v>69.35</v>
      </c>
      <c r="AH13" s="16">
        <f>$F$13*$H$13*$I$13*(1-$J$13)*Rampa!Y15</f>
        <v>69.35</v>
      </c>
      <c r="AI13" s="16">
        <f>$F$13*$H$13*$I$13*(1-$J$13)*Rampa!Z15</f>
        <v>69.35</v>
      </c>
      <c r="AJ13" s="16">
        <f>$F$13*$H$13*$I$13*(1-$J$13)*Rampa!AA15</f>
        <v>69.35</v>
      </c>
      <c r="AK13" s="16">
        <f>$F$13*$H$13*$I$13*(1-$J$13)*Rampa!AB15</f>
        <v>69.35</v>
      </c>
      <c r="AL13" s="16">
        <f>$F$13*$H$13*$I$13*(1-$J$13)*Rampa!AC15</f>
        <v>69.35</v>
      </c>
      <c r="AM13" s="16">
        <f>$F$13*$H$13*$I$13*(1-$J$13)*Rampa!AD15</f>
        <v>69.35</v>
      </c>
      <c r="AN13" s="16">
        <f>$F$13*$H$13*$I$13*(1-$J$13)*Rampa!AE15</f>
        <v>69.35</v>
      </c>
      <c r="AO13" s="16">
        <f>$F$13*$H$13*$I$13*(1-$J$13)*Rampa!AF15</f>
        <v>69.35</v>
      </c>
      <c r="AP13" s="16">
        <f>$F$13*$H$13*$I$13*(1-$J$13)*Rampa!AG15</f>
        <v>69.35</v>
      </c>
      <c r="AQ13" s="16">
        <f>$F$13*$H$13*$I$13*(1-$J$13)*Rampa!AH15</f>
        <v>69.35</v>
      </c>
      <c r="AR13" s="16">
        <f>$F$13*$H$13*$I$13*(1-$J$13)*Rampa!AI15</f>
        <v>69.35</v>
      </c>
      <c r="AS13" s="16">
        <f>$F$13*$H$13*$I$13*(1-$J$13)*Rampa!AJ15</f>
        <v>69.35</v>
      </c>
      <c r="AT13" s="17">
        <f>$F$13*$H$13*$I$13*(1-$J$13)*Rampa!AK15</f>
        <v>69.35</v>
      </c>
    </row>
    <row r="14" ht="12.0" customHeight="1">
      <c r="A14" s="1"/>
      <c r="B14" s="18"/>
      <c r="C14" s="19"/>
      <c r="D14" s="20" t="s">
        <v>72</v>
      </c>
      <c r="E14" s="21" t="s">
        <v>73</v>
      </c>
      <c r="F14" s="22">
        <v>48.0</v>
      </c>
      <c r="G14" s="21" t="s">
        <v>49</v>
      </c>
      <c r="H14" s="23">
        <v>0.04</v>
      </c>
      <c r="I14" s="21">
        <f t="shared" ref="I14:I15" si="1">$I$3</f>
        <v>730</v>
      </c>
      <c r="J14" s="24">
        <v>0.05</v>
      </c>
      <c r="K14" s="25">
        <f>$F$14*$H$14*$I$14*(1-$J$14)*Rampa!B15</f>
        <v>0</v>
      </c>
      <c r="L14" s="25">
        <f>$F$14*$H$14*$I$14*(1-$J$14)*Rampa!C15</f>
        <v>1331.52</v>
      </c>
      <c r="M14" s="25">
        <f>$F$14*$H$14*$I$14*(1-$J$14)*Rampa!D15</f>
        <v>1331.52</v>
      </c>
      <c r="N14" s="25">
        <f>$F$14*$H$14*$I$14*(1-$J$14)*Rampa!E15</f>
        <v>1331.52</v>
      </c>
      <c r="O14" s="25">
        <f>$F$14*$H$14*$I$14*(1-$J$14)*Rampa!F15</f>
        <v>1331.52</v>
      </c>
      <c r="P14" s="25">
        <f>$F$14*$H$14*$I$14*(1-$J$14)*Rampa!G15</f>
        <v>1331.52</v>
      </c>
      <c r="Q14" s="25">
        <f>$F$14*$H$14*$I$14*(1-$J$14)*Rampa!H15</f>
        <v>1331.52</v>
      </c>
      <c r="R14" s="25">
        <f>$F$14*$H$14*$I$14*(1-$J$14)*Rampa!I15</f>
        <v>1331.52</v>
      </c>
      <c r="S14" s="25">
        <f>$F$14*$H$14*$I$14*(1-$J$14)*Rampa!J15</f>
        <v>1331.52</v>
      </c>
      <c r="T14" s="25">
        <f>$F$14*$H$14*$I$14*(1-$J$14)*Rampa!K15</f>
        <v>1331.52</v>
      </c>
      <c r="U14" s="25">
        <f>$F$14*$H$14*$I$14*(1-$J$14)*Rampa!L15</f>
        <v>1331.52</v>
      </c>
      <c r="V14" s="25">
        <f>$F$14*$H$14*$I$14*(1-$J$14)*Rampa!M15</f>
        <v>1331.52</v>
      </c>
      <c r="W14" s="25">
        <f>$F$14*$H$14*$I$14*(1-$J$14)*Rampa!N15</f>
        <v>1331.52</v>
      </c>
      <c r="X14" s="25">
        <f>$F$14*$H$14*$I$14*(1-$J$14)*Rampa!O15</f>
        <v>1331.52</v>
      </c>
      <c r="Y14" s="25">
        <f>$F$14*$H$14*$I$14*(1-$J$14)*Rampa!P15</f>
        <v>1331.52</v>
      </c>
      <c r="Z14" s="25">
        <f>$F$14*$H$14*$I$14*(1-$J$14)*Rampa!Q15</f>
        <v>1331.52</v>
      </c>
      <c r="AA14" s="25">
        <f>$F$14*$H$14*$I$14*(1-$J$14)*Rampa!R15</f>
        <v>1331.52</v>
      </c>
      <c r="AB14" s="25">
        <f>$F$14*$H$14*$I$14*(1-$J$14)*Rampa!S15</f>
        <v>1331.52</v>
      </c>
      <c r="AC14" s="25">
        <f>$F$14*$H$14*$I$14*(1-$J$14)*Rampa!T15</f>
        <v>1331.52</v>
      </c>
      <c r="AD14" s="25">
        <f>$F$14*$H$14*$I$14*(1-$J$14)*Rampa!U15</f>
        <v>1331.52</v>
      </c>
      <c r="AE14" s="25">
        <f>$F$14*$H$14*$I$14*(1-$J$14)*Rampa!V15</f>
        <v>1331.52</v>
      </c>
      <c r="AF14" s="25">
        <f>$F$14*$H$14*$I$14*(1-$J$14)*Rampa!W15</f>
        <v>1331.52</v>
      </c>
      <c r="AG14" s="25">
        <f>$F$14*$H$14*$I$14*(1-$J$14)*Rampa!X15</f>
        <v>1331.52</v>
      </c>
      <c r="AH14" s="25">
        <f>$F$14*$H$14*$I$14*(1-$J$14)*Rampa!Y15</f>
        <v>1331.52</v>
      </c>
      <c r="AI14" s="25">
        <f>$F$14*$H$14*$I$14*(1-$J$14)*Rampa!Z15</f>
        <v>1331.52</v>
      </c>
      <c r="AJ14" s="25">
        <f>$F$14*$H$14*$I$14*(1-$J$14)*Rampa!AA15</f>
        <v>1331.52</v>
      </c>
      <c r="AK14" s="25">
        <f>$F$14*$H$14*$I$14*(1-$J$14)*Rampa!AB15</f>
        <v>1331.52</v>
      </c>
      <c r="AL14" s="25">
        <f>$F$14*$H$14*$I$14*(1-$J$14)*Rampa!AC15</f>
        <v>1331.52</v>
      </c>
      <c r="AM14" s="25">
        <f>$F$14*$H$14*$I$14*(1-$J$14)*Rampa!AD15</f>
        <v>1331.52</v>
      </c>
      <c r="AN14" s="25">
        <f>$F$14*$H$14*$I$14*(1-$J$14)*Rampa!AE15</f>
        <v>1331.52</v>
      </c>
      <c r="AO14" s="25">
        <f>$F$14*$H$14*$I$14*(1-$J$14)*Rampa!AF15</f>
        <v>1331.52</v>
      </c>
      <c r="AP14" s="25">
        <f>$F$14*$H$14*$I$14*(1-$J$14)*Rampa!AG15</f>
        <v>1331.52</v>
      </c>
      <c r="AQ14" s="25">
        <f>$F$14*$H$14*$I$14*(1-$J$14)*Rampa!AH15</f>
        <v>1331.52</v>
      </c>
      <c r="AR14" s="25">
        <f>$F$14*$H$14*$I$14*(1-$J$14)*Rampa!AI15</f>
        <v>1331.52</v>
      </c>
      <c r="AS14" s="25">
        <f>$F$14*$H$14*$I$14*(1-$J$14)*Rampa!AJ15</f>
        <v>1331.52</v>
      </c>
      <c r="AT14" s="26">
        <f>$F$14*$H$14*$I$14*(1-$J$14)*Rampa!AK15</f>
        <v>1331.52</v>
      </c>
    </row>
    <row r="15" ht="12.0" customHeight="1">
      <c r="A15" s="1"/>
      <c r="B15" s="18"/>
      <c r="C15" s="19"/>
      <c r="D15" s="20" t="s">
        <v>74</v>
      </c>
      <c r="E15" s="21" t="s">
        <v>75</v>
      </c>
      <c r="F15" s="22">
        <v>360.0</v>
      </c>
      <c r="G15" s="21" t="s">
        <v>76</v>
      </c>
      <c r="H15" s="23">
        <v>0.0015</v>
      </c>
      <c r="I15" s="21">
        <f t="shared" si="1"/>
        <v>730</v>
      </c>
      <c r="J15" s="24">
        <v>0.05</v>
      </c>
      <c r="K15" s="25">
        <f>$F$15*$H$15*$I$15*(1-$J$15)*Rampa!B15</f>
        <v>0</v>
      </c>
      <c r="L15" s="25">
        <f>$F$15*$H$15*$I$15*(1-$J$15)*Rampa!C15</f>
        <v>374.49</v>
      </c>
      <c r="M15" s="25">
        <f>$F$15*$H$15*$I$15*(1-$J$15)*Rampa!D15</f>
        <v>374.49</v>
      </c>
      <c r="N15" s="25">
        <f>$F$15*$H$15*$I$15*(1-$J$15)*Rampa!E15</f>
        <v>374.49</v>
      </c>
      <c r="O15" s="25">
        <f>$F$15*$H$15*$I$15*(1-$J$15)*Rampa!F15</f>
        <v>374.49</v>
      </c>
      <c r="P15" s="25">
        <f>$F$15*$H$15*$I$15*(1-$J$15)*Rampa!G15</f>
        <v>374.49</v>
      </c>
      <c r="Q15" s="25">
        <f>$F$15*$H$15*$I$15*(1-$J$15)*Rampa!H15</f>
        <v>374.49</v>
      </c>
      <c r="R15" s="25">
        <f>$F$15*$H$15*$I$15*(1-$J$15)*Rampa!I15</f>
        <v>374.49</v>
      </c>
      <c r="S15" s="25">
        <f>$F$15*$H$15*$I$15*(1-$J$15)*Rampa!J15</f>
        <v>374.49</v>
      </c>
      <c r="T15" s="25">
        <f>$F$15*$H$15*$I$15*(1-$J$15)*Rampa!K15</f>
        <v>374.49</v>
      </c>
      <c r="U15" s="25">
        <f>$F$15*$H$15*$I$15*(1-$J$15)*Rampa!L15</f>
        <v>374.49</v>
      </c>
      <c r="V15" s="25">
        <f>$F$15*$H$15*$I$15*(1-$J$15)*Rampa!M15</f>
        <v>374.49</v>
      </c>
      <c r="W15" s="25">
        <f>$F$15*$H$15*$I$15*(1-$J$15)*Rampa!N15</f>
        <v>374.49</v>
      </c>
      <c r="X15" s="25">
        <f>$F$15*$H$15*$I$15*(1-$J$15)*Rampa!O15</f>
        <v>374.49</v>
      </c>
      <c r="Y15" s="25">
        <f>$F$15*$H$15*$I$15*(1-$J$15)*Rampa!P15</f>
        <v>374.49</v>
      </c>
      <c r="Z15" s="25">
        <f>$F$15*$H$15*$I$15*(1-$J$15)*Rampa!Q15</f>
        <v>374.49</v>
      </c>
      <c r="AA15" s="25">
        <f>$F$15*$H$15*$I$15*(1-$J$15)*Rampa!R15</f>
        <v>374.49</v>
      </c>
      <c r="AB15" s="25">
        <f>$F$15*$H$15*$I$15*(1-$J$15)*Rampa!S15</f>
        <v>374.49</v>
      </c>
      <c r="AC15" s="25">
        <f>$F$15*$H$15*$I$15*(1-$J$15)*Rampa!T15</f>
        <v>374.49</v>
      </c>
      <c r="AD15" s="25">
        <f>$F$15*$H$15*$I$15*(1-$J$15)*Rampa!U15</f>
        <v>374.49</v>
      </c>
      <c r="AE15" s="25">
        <f>$F$15*$H$15*$I$15*(1-$J$15)*Rampa!V15</f>
        <v>374.49</v>
      </c>
      <c r="AF15" s="25">
        <f>$F$15*$H$15*$I$15*(1-$J$15)*Rampa!W15</f>
        <v>374.49</v>
      </c>
      <c r="AG15" s="25">
        <f>$F$15*$H$15*$I$15*(1-$J$15)*Rampa!X15</f>
        <v>374.49</v>
      </c>
      <c r="AH15" s="25">
        <f>$F$15*$H$15*$I$15*(1-$J$15)*Rampa!Y15</f>
        <v>374.49</v>
      </c>
      <c r="AI15" s="25">
        <f>$F$15*$H$15*$I$15*(1-$J$15)*Rampa!Z15</f>
        <v>374.49</v>
      </c>
      <c r="AJ15" s="25">
        <f>$F$15*$H$15*$I$15*(1-$J$15)*Rampa!AA15</f>
        <v>374.49</v>
      </c>
      <c r="AK15" s="25">
        <f>$F$15*$H$15*$I$15*(1-$J$15)*Rampa!AB15</f>
        <v>374.49</v>
      </c>
      <c r="AL15" s="25">
        <f>$F$15*$H$15*$I$15*(1-$J$15)*Rampa!AC15</f>
        <v>374.49</v>
      </c>
      <c r="AM15" s="25">
        <f>$F$15*$H$15*$I$15*(1-$J$15)*Rampa!AD15</f>
        <v>374.49</v>
      </c>
      <c r="AN15" s="25">
        <f>$F$15*$H$15*$I$15*(1-$J$15)*Rampa!AE15</f>
        <v>374.49</v>
      </c>
      <c r="AO15" s="25">
        <f>$F$15*$H$15*$I$15*(1-$J$15)*Rampa!AF15</f>
        <v>374.49</v>
      </c>
      <c r="AP15" s="25">
        <f>$F$15*$H$15*$I$15*(1-$J$15)*Rampa!AG15</f>
        <v>374.49</v>
      </c>
      <c r="AQ15" s="25">
        <f>$F$15*$H$15*$I$15*(1-$J$15)*Rampa!AH15</f>
        <v>374.49</v>
      </c>
      <c r="AR15" s="25">
        <f>$F$15*$H$15*$I$15*(1-$J$15)*Rampa!AI15</f>
        <v>374.49</v>
      </c>
      <c r="AS15" s="25">
        <f>$F$15*$H$15*$I$15*(1-$J$15)*Rampa!AJ15</f>
        <v>374.49</v>
      </c>
      <c r="AT15" s="26">
        <f>$F$15*$H$15*$I$15*(1-$J$15)*Rampa!AK15</f>
        <v>374.49</v>
      </c>
    </row>
    <row r="16" ht="12.0" customHeight="1">
      <c r="A16" s="1"/>
      <c r="B16" s="18"/>
      <c r="C16" s="19"/>
      <c r="D16" s="20" t="s">
        <v>50</v>
      </c>
      <c r="E16" s="21" t="s">
        <v>51</v>
      </c>
      <c r="F16" s="39">
        <v>900.0</v>
      </c>
      <c r="G16" s="21" t="s">
        <v>52</v>
      </c>
      <c r="H16" s="23">
        <v>0.0255</v>
      </c>
      <c r="I16" s="21">
        <v>1.0</v>
      </c>
      <c r="J16" s="24">
        <v>0.05</v>
      </c>
      <c r="K16" s="25">
        <f>$F$16*$H$16*$I$16*(1-$J$16)*Rampa!B15</f>
        <v>0</v>
      </c>
      <c r="L16" s="25">
        <f>$F$16*$H$16*$I$16*(1-$J$16)*Rampa!C15</f>
        <v>21.8025</v>
      </c>
      <c r="M16" s="25">
        <f>$F$16*$H$16*$I$16*(1-$J$16)*Rampa!D15</f>
        <v>21.8025</v>
      </c>
      <c r="N16" s="25">
        <f>$F$16*$H$16*$I$16*(1-$J$16)*Rampa!E15</f>
        <v>21.8025</v>
      </c>
      <c r="O16" s="25">
        <f>$F$16*$H$16*$I$16*(1-$J$16)*Rampa!F15</f>
        <v>21.8025</v>
      </c>
      <c r="P16" s="25">
        <f>$F$16*$H$16*$I$16*(1-$J$16)*Rampa!G15</f>
        <v>21.8025</v>
      </c>
      <c r="Q16" s="25">
        <f>$F$16*$H$16*$I$16*(1-$J$16)*Rampa!H15</f>
        <v>21.8025</v>
      </c>
      <c r="R16" s="25">
        <f>$F$16*$H$16*$I$16*(1-$J$16)*Rampa!I15</f>
        <v>21.8025</v>
      </c>
      <c r="S16" s="25">
        <f>$F$16*$H$16*$I$16*(1-$J$16)*Rampa!J15</f>
        <v>21.8025</v>
      </c>
      <c r="T16" s="25">
        <f>$F$16*$H$16*$I$16*(1-$J$16)*Rampa!K15</f>
        <v>21.8025</v>
      </c>
      <c r="U16" s="25">
        <f>$F$16*$H$16*$I$16*(1-$J$16)*Rampa!L15</f>
        <v>21.8025</v>
      </c>
      <c r="V16" s="25">
        <f>$F$16*$H$16*$I$16*(1-$J$16)*Rampa!M15</f>
        <v>21.8025</v>
      </c>
      <c r="W16" s="25">
        <f>$F$16*$H$16*$I$16*(1-$J$16)*Rampa!N15</f>
        <v>21.8025</v>
      </c>
      <c r="X16" s="25">
        <f>$F$16*$H$16*$I$16*(1-$J$16)*Rampa!O15</f>
        <v>21.8025</v>
      </c>
      <c r="Y16" s="25">
        <f>$F$16*$H$16*$I$16*(1-$J$16)*Rampa!P15</f>
        <v>21.8025</v>
      </c>
      <c r="Z16" s="25">
        <f>$F$16*$H$16*$I$16*(1-$J$16)*Rampa!Q15</f>
        <v>21.8025</v>
      </c>
      <c r="AA16" s="25">
        <f>$F$16*$H$16*$I$16*(1-$J$16)*Rampa!R15</f>
        <v>21.8025</v>
      </c>
      <c r="AB16" s="25">
        <f>$F$16*$H$16*$I$16*(1-$J$16)*Rampa!S15</f>
        <v>21.8025</v>
      </c>
      <c r="AC16" s="25">
        <f>$F$16*$H$16*$I$16*(1-$J$16)*Rampa!T15</f>
        <v>21.8025</v>
      </c>
      <c r="AD16" s="25">
        <f>$F$16*$H$16*$I$16*(1-$J$16)*Rampa!U15</f>
        <v>21.8025</v>
      </c>
      <c r="AE16" s="25">
        <f>$F$16*$H$16*$I$16*(1-$J$16)*Rampa!V15</f>
        <v>21.8025</v>
      </c>
      <c r="AF16" s="25">
        <f>$F$16*$H$16*$I$16*(1-$J$16)*Rampa!W15</f>
        <v>21.8025</v>
      </c>
      <c r="AG16" s="25">
        <f>$F$16*$H$16*$I$16*(1-$J$16)*Rampa!X15</f>
        <v>21.8025</v>
      </c>
      <c r="AH16" s="25">
        <f>$F$16*$H$16*$I$16*(1-$J$16)*Rampa!Y15</f>
        <v>21.8025</v>
      </c>
      <c r="AI16" s="25">
        <f>$F$16*$H$16*$I$16*(1-$J$16)*Rampa!Z15</f>
        <v>21.8025</v>
      </c>
      <c r="AJ16" s="25">
        <f>$F$16*$H$16*$I$16*(1-$J$16)*Rampa!AA15</f>
        <v>21.8025</v>
      </c>
      <c r="AK16" s="25">
        <f>$F$16*$H$16*$I$16*(1-$J$16)*Rampa!AB15</f>
        <v>21.8025</v>
      </c>
      <c r="AL16" s="25">
        <f>$F$16*$H$16*$I$16*(1-$J$16)*Rampa!AC15</f>
        <v>21.8025</v>
      </c>
      <c r="AM16" s="25">
        <f>$F$16*$H$16*$I$16*(1-$J$16)*Rampa!AD15</f>
        <v>21.8025</v>
      </c>
      <c r="AN16" s="25">
        <f>$F$16*$H$16*$I$16*(1-$J$16)*Rampa!AE15</f>
        <v>21.8025</v>
      </c>
      <c r="AO16" s="25">
        <f>$F$16*$H$16*$I$16*(1-$J$16)*Rampa!AF15</f>
        <v>21.8025</v>
      </c>
      <c r="AP16" s="25">
        <f>$F$16*$H$16*$I$16*(1-$J$16)*Rampa!AG15</f>
        <v>21.8025</v>
      </c>
      <c r="AQ16" s="25">
        <f>$F$16*$H$16*$I$16*(1-$J$16)*Rampa!AH15</f>
        <v>21.8025</v>
      </c>
      <c r="AR16" s="25">
        <f>$F$16*$H$16*$I$16*(1-$J$16)*Rampa!AI15</f>
        <v>21.8025</v>
      </c>
      <c r="AS16" s="25">
        <f>$F$16*$H$16*$I$16*(1-$J$16)*Rampa!AJ15</f>
        <v>21.8025</v>
      </c>
      <c r="AT16" s="26">
        <f>$F$16*$H$16*$I$16*(1-$J$16)*Rampa!AK15</f>
        <v>21.8025</v>
      </c>
    </row>
    <row r="17" ht="12.0" customHeight="1">
      <c r="A17" s="1"/>
      <c r="B17" s="29"/>
      <c r="C17" s="40"/>
      <c r="D17" s="31" t="s">
        <v>53</v>
      </c>
      <c r="E17" s="32" t="s">
        <v>54</v>
      </c>
      <c r="F17" s="31">
        <v>9000.0</v>
      </c>
      <c r="G17" s="41" t="s">
        <v>55</v>
      </c>
      <c r="H17" s="33">
        <v>0.0017</v>
      </c>
      <c r="I17" s="32">
        <v>1.0</v>
      </c>
      <c r="J17" s="34">
        <v>0.05</v>
      </c>
      <c r="K17" s="35">
        <f>$F$17*$H$17*$I$17*(1-$J$17)*Rampa!B15</f>
        <v>0</v>
      </c>
      <c r="L17" s="35">
        <f>$F$17*$H$17*$I$17*(1-$J$17)*Rampa!C15</f>
        <v>14.535</v>
      </c>
      <c r="M17" s="35">
        <f>$F$17*$H$17*$I$17*(1-$J$17)*Rampa!D15</f>
        <v>14.535</v>
      </c>
      <c r="N17" s="35">
        <f>$F$17*$H$17*$I$17*(1-$J$17)*Rampa!E15</f>
        <v>14.535</v>
      </c>
      <c r="O17" s="35">
        <f>$F$17*$H$17*$I$17*(1-$J$17)*Rampa!F15</f>
        <v>14.535</v>
      </c>
      <c r="P17" s="35">
        <f>$F$17*$H$17*$I$17*(1-$J$17)*Rampa!G15</f>
        <v>14.535</v>
      </c>
      <c r="Q17" s="35">
        <f>$F$17*$H$17*$I$17*(1-$J$17)*Rampa!H15</f>
        <v>14.535</v>
      </c>
      <c r="R17" s="35">
        <f>$F$17*$H$17*$I$17*(1-$J$17)*Rampa!I15</f>
        <v>14.535</v>
      </c>
      <c r="S17" s="35">
        <f>$F$17*$H$17*$I$17*(1-$J$17)*Rampa!J15</f>
        <v>14.535</v>
      </c>
      <c r="T17" s="35">
        <f>$F$17*$H$17*$I$17*(1-$J$17)*Rampa!K15</f>
        <v>14.535</v>
      </c>
      <c r="U17" s="35">
        <f>$F$17*$H$17*$I$17*(1-$J$17)*Rampa!L15</f>
        <v>14.535</v>
      </c>
      <c r="V17" s="35">
        <f>$F$17*$H$17*$I$17*(1-$J$17)*Rampa!M15</f>
        <v>14.535</v>
      </c>
      <c r="W17" s="35">
        <f>$F$17*$H$17*$I$17*(1-$J$17)*Rampa!N15</f>
        <v>14.535</v>
      </c>
      <c r="X17" s="35">
        <f>$F$17*$H$17*$I$17*(1-$J$17)*Rampa!O15</f>
        <v>14.535</v>
      </c>
      <c r="Y17" s="35">
        <f>$F$17*$H$17*$I$17*(1-$J$17)*Rampa!P15</f>
        <v>14.535</v>
      </c>
      <c r="Z17" s="35">
        <f>$F$17*$H$17*$I$17*(1-$J$17)*Rampa!Q15</f>
        <v>14.535</v>
      </c>
      <c r="AA17" s="35">
        <f>$F$17*$H$17*$I$17*(1-$J$17)*Rampa!R15</f>
        <v>14.535</v>
      </c>
      <c r="AB17" s="35">
        <f>$F$17*$H$17*$I$17*(1-$J$17)*Rampa!S15</f>
        <v>14.535</v>
      </c>
      <c r="AC17" s="35">
        <f>$F$17*$H$17*$I$17*(1-$J$17)*Rampa!T15</f>
        <v>14.535</v>
      </c>
      <c r="AD17" s="35">
        <f>$F$17*$H$17*$I$17*(1-$J$17)*Rampa!U15</f>
        <v>14.535</v>
      </c>
      <c r="AE17" s="35">
        <f>$F$17*$H$17*$I$17*(1-$J$17)*Rampa!V15</f>
        <v>14.535</v>
      </c>
      <c r="AF17" s="35">
        <f>$F$17*$H$17*$I$17*(1-$J$17)*Rampa!W15</f>
        <v>14.535</v>
      </c>
      <c r="AG17" s="35">
        <f>$F$17*$H$17*$I$17*(1-$J$17)*Rampa!X15</f>
        <v>14.535</v>
      </c>
      <c r="AH17" s="35">
        <f>$F$17*$H$17*$I$17*(1-$J$17)*Rampa!Y15</f>
        <v>14.535</v>
      </c>
      <c r="AI17" s="35">
        <f>$F$17*$H$17*$I$17*(1-$J$17)*Rampa!Z15</f>
        <v>14.535</v>
      </c>
      <c r="AJ17" s="35">
        <f>$F$17*$H$17*$I$17*(1-$J$17)*Rampa!AA15</f>
        <v>14.535</v>
      </c>
      <c r="AK17" s="35">
        <f>$F$17*$H$17*$I$17*(1-$J$17)*Rampa!AB15</f>
        <v>14.535</v>
      </c>
      <c r="AL17" s="35">
        <f>$F$17*$H$17*$I$17*(1-$J$17)*Rampa!AC15</f>
        <v>14.535</v>
      </c>
      <c r="AM17" s="35">
        <f>$F$17*$H$17*$I$17*(1-$J$17)*Rampa!AD15</f>
        <v>14.535</v>
      </c>
      <c r="AN17" s="35">
        <f>$F$17*$H$17*$I$17*(1-$J$17)*Rampa!AE15</f>
        <v>14.535</v>
      </c>
      <c r="AO17" s="35">
        <f>$F$17*$H$17*$I$17*(1-$J$17)*Rampa!AF15</f>
        <v>14.535</v>
      </c>
      <c r="AP17" s="35">
        <f>$F$17*$H$17*$I$17*(1-$J$17)*Rampa!AG15</f>
        <v>14.535</v>
      </c>
      <c r="AQ17" s="35">
        <f>$F$17*$H$17*$I$17*(1-$J$17)*Rampa!AH15</f>
        <v>14.535</v>
      </c>
      <c r="AR17" s="35">
        <f>$F$17*$H$17*$I$17*(1-$J$17)*Rampa!AI15</f>
        <v>14.535</v>
      </c>
      <c r="AS17" s="35">
        <f>$F$17*$H$17*$I$17*(1-$J$17)*Rampa!AJ15</f>
        <v>14.535</v>
      </c>
      <c r="AT17" s="36">
        <f>$F$17*$H$17*$I$17*(1-$J$17)*Rampa!AK15</f>
        <v>14.535</v>
      </c>
    </row>
    <row r="18" ht="12.0" customHeight="1">
      <c r="A18" s="1"/>
      <c r="B18" s="42" t="s">
        <v>77</v>
      </c>
      <c r="C18" s="43" t="s">
        <v>78</v>
      </c>
      <c r="D18" s="11" t="s">
        <v>79</v>
      </c>
      <c r="E18" s="12" t="s">
        <v>80</v>
      </c>
      <c r="F18" s="44">
        <v>8.0</v>
      </c>
      <c r="G18" s="45" t="s">
        <v>49</v>
      </c>
      <c r="H18" s="14">
        <v>0.098</v>
      </c>
      <c r="I18" s="12">
        <v>730.0</v>
      </c>
      <c r="J18" s="15">
        <v>0.05</v>
      </c>
      <c r="K18" s="16">
        <f>$F$18*$H$18*$I$18*(1-$J$18)*Rampa!B16</f>
        <v>0</v>
      </c>
      <c r="L18" s="16">
        <f>$F$18*$H$18*$I$18*(1-$J$18)*Rampa!C16</f>
        <v>543.704</v>
      </c>
      <c r="M18" s="16">
        <f>$F$18*$H$18*$I$18*(1-$J$18)*Rampa!D16</f>
        <v>543.704</v>
      </c>
      <c r="N18" s="16">
        <f>$F$18*$H$18*$I$18*(1-$J$18)*Rampa!E16</f>
        <v>543.704</v>
      </c>
      <c r="O18" s="16">
        <f>$F$18*$H$18*$I$18*(1-$J$18)*Rampa!F16</f>
        <v>543.704</v>
      </c>
      <c r="P18" s="16">
        <f>$F$18*$H$18*$I$18*(1-$J$18)*Rampa!G16</f>
        <v>543.704</v>
      </c>
      <c r="Q18" s="16">
        <f>$F$18*$H$18*$I$18*(1-$J$18)*Rampa!H16</f>
        <v>543.704</v>
      </c>
      <c r="R18" s="16">
        <f>$F$18*$H$18*$I$18*(1-$J$18)*Rampa!I16</f>
        <v>543.704</v>
      </c>
      <c r="S18" s="16">
        <f>$F$18*$H$18*$I$18*(1-$J$18)*Rampa!J16</f>
        <v>543.704</v>
      </c>
      <c r="T18" s="16">
        <f>$F$18*$H$18*$I$18*(1-$J$18)*Rampa!K16</f>
        <v>543.704</v>
      </c>
      <c r="U18" s="16">
        <f>$F$18*$H$18*$I$18*(1-$J$18)*Rampa!L16</f>
        <v>543.704</v>
      </c>
      <c r="V18" s="16">
        <f>$F$18*$H$18*$I$18*(1-$J$18)*Rampa!M16</f>
        <v>543.704</v>
      </c>
      <c r="W18" s="16">
        <f>$F$18*$H$18*$I$18*(1-$J$18)*Rampa!N16</f>
        <v>543.704</v>
      </c>
      <c r="X18" s="16">
        <f>$F$18*$H$18*$I$18*(1-$J$18)*Rampa!O16</f>
        <v>543.704</v>
      </c>
      <c r="Y18" s="16">
        <f>$F$18*$H$18*$I$18*(1-$J$18)*Rampa!P16</f>
        <v>543.704</v>
      </c>
      <c r="Z18" s="16">
        <f>$F$18*$H$18*$I$18*(1-$J$18)*Rampa!Q16</f>
        <v>543.704</v>
      </c>
      <c r="AA18" s="16">
        <f>$F$18*$H$18*$I$18*(1-$J$18)*Rampa!R16</f>
        <v>543.704</v>
      </c>
      <c r="AB18" s="16">
        <f>$F$18*$H$18*$I$18*(1-$J$18)*Rampa!S16</f>
        <v>543.704</v>
      </c>
      <c r="AC18" s="16">
        <f>$F$18*$H$18*$I$18*(1-$J$18)*Rampa!T16</f>
        <v>543.704</v>
      </c>
      <c r="AD18" s="16">
        <f>$F$18*$H$18*$I$18*(1-$J$18)*Rampa!U16</f>
        <v>543.704</v>
      </c>
      <c r="AE18" s="16">
        <f>$F$18*$H$18*$I$18*(1-$J$18)*Rampa!V16</f>
        <v>543.704</v>
      </c>
      <c r="AF18" s="16">
        <f>$F$18*$H$18*$I$18*(1-$J$18)*Rampa!W16</f>
        <v>543.704</v>
      </c>
      <c r="AG18" s="16">
        <f>$F$18*$H$18*$I$18*(1-$J$18)*Rampa!X16</f>
        <v>543.704</v>
      </c>
      <c r="AH18" s="16">
        <f>$F$18*$H$18*$I$18*(1-$J$18)*Rampa!Y16</f>
        <v>543.704</v>
      </c>
      <c r="AI18" s="16">
        <f>$F$18*$H$18*$I$18*(1-$J$18)*Rampa!Z16</f>
        <v>543.704</v>
      </c>
      <c r="AJ18" s="16">
        <f>$F$18*$H$18*$I$18*(1-$J$18)*Rampa!AA16</f>
        <v>543.704</v>
      </c>
      <c r="AK18" s="16">
        <f>$F$18*$H$18*$I$18*(1-$J$18)*Rampa!AB16</f>
        <v>543.704</v>
      </c>
      <c r="AL18" s="16">
        <f>$F$18*$H$18*$I$18*(1-$J$18)*Rampa!AC16</f>
        <v>543.704</v>
      </c>
      <c r="AM18" s="16">
        <f>$F$18*$H$18*$I$18*(1-$J$18)*Rampa!AD16</f>
        <v>543.704</v>
      </c>
      <c r="AN18" s="16">
        <f>$F$18*$H$18*$I$18*(1-$J$18)*Rampa!AE16</f>
        <v>543.704</v>
      </c>
      <c r="AO18" s="16">
        <f>$F$18*$H$18*$I$18*(1-$J$18)*Rampa!AF16</f>
        <v>543.704</v>
      </c>
      <c r="AP18" s="16">
        <f>$F$18*$H$18*$I$18*(1-$J$18)*Rampa!AG16</f>
        <v>543.704</v>
      </c>
      <c r="AQ18" s="16">
        <f>$F$18*$H$18*$I$18*(1-$J$18)*Rampa!AH16</f>
        <v>543.704</v>
      </c>
      <c r="AR18" s="16">
        <f>$F$18*$H$18*$I$18*(1-$J$18)*Rampa!AI16</f>
        <v>543.704</v>
      </c>
      <c r="AS18" s="16">
        <f>$F$18*$H$18*$I$18*(1-$J$18)*Rampa!AJ16</f>
        <v>543.704</v>
      </c>
      <c r="AT18" s="17">
        <f>$F$18*$H$18*$I$18*(1-$J$18)*Rampa!AK16</f>
        <v>543.704</v>
      </c>
    </row>
    <row r="19" ht="12.0" customHeight="1">
      <c r="A19" s="1"/>
      <c r="B19" s="46"/>
      <c r="C19" s="18"/>
      <c r="D19" s="20" t="s">
        <v>81</v>
      </c>
      <c r="E19" s="21" t="s">
        <v>82</v>
      </c>
      <c r="F19" s="39">
        <v>320.0</v>
      </c>
      <c r="G19" s="27" t="s">
        <v>52</v>
      </c>
      <c r="H19" s="23">
        <v>0.072</v>
      </c>
      <c r="I19" s="21">
        <v>1.0</v>
      </c>
      <c r="J19" s="24">
        <v>0.05</v>
      </c>
      <c r="K19" s="25">
        <f>$F$19*$H$19*$I$19*(1-$J$19)*Rampa!B16</f>
        <v>0</v>
      </c>
      <c r="L19" s="25">
        <f>$F$19*$H$19*$I$19*(1-$J$19)*Rampa!C16</f>
        <v>21.888</v>
      </c>
      <c r="M19" s="25">
        <f>$F$19*$H$19*$I$19*(1-$J$19)*Rampa!D16</f>
        <v>21.888</v>
      </c>
      <c r="N19" s="25">
        <f>$F$19*$H$19*$I$19*(1-$J$19)*Rampa!E16</f>
        <v>21.888</v>
      </c>
      <c r="O19" s="25">
        <f>$F$19*$H$19*$I$19*(1-$J$19)*Rampa!F16</f>
        <v>21.888</v>
      </c>
      <c r="P19" s="25">
        <f>$F$19*$H$19*$I$19*(1-$J$19)*Rampa!G16</f>
        <v>21.888</v>
      </c>
      <c r="Q19" s="25">
        <f>$F$19*$H$19*$I$19*(1-$J$19)*Rampa!H16</f>
        <v>21.888</v>
      </c>
      <c r="R19" s="25">
        <f>$F$19*$H$19*$I$19*(1-$J$19)*Rampa!I16</f>
        <v>21.888</v>
      </c>
      <c r="S19" s="25">
        <f>$F$19*$H$19*$I$19*(1-$J$19)*Rampa!J16</f>
        <v>21.888</v>
      </c>
      <c r="T19" s="25">
        <f>$F$19*$H$19*$I$19*(1-$J$19)*Rampa!K16</f>
        <v>21.888</v>
      </c>
      <c r="U19" s="25">
        <f>$F$19*$H$19*$I$19*(1-$J$19)*Rampa!L16</f>
        <v>21.888</v>
      </c>
      <c r="V19" s="25">
        <f>$F$19*$H$19*$I$19*(1-$J$19)*Rampa!M16</f>
        <v>21.888</v>
      </c>
      <c r="W19" s="25">
        <f>$F$19*$H$19*$I$19*(1-$J$19)*Rampa!N16</f>
        <v>21.888</v>
      </c>
      <c r="X19" s="25">
        <f>$F$19*$H$19*$I$19*(1-$J$19)*Rampa!O16</f>
        <v>21.888</v>
      </c>
      <c r="Y19" s="25">
        <f>$F$19*$H$19*$I$19*(1-$J$19)*Rampa!P16</f>
        <v>21.888</v>
      </c>
      <c r="Z19" s="25">
        <f>$F$19*$H$19*$I$19*(1-$J$19)*Rampa!Q16</f>
        <v>21.888</v>
      </c>
      <c r="AA19" s="25">
        <f>$F$19*$H$19*$I$19*(1-$J$19)*Rampa!R16</f>
        <v>21.888</v>
      </c>
      <c r="AB19" s="25">
        <f>$F$19*$H$19*$I$19*(1-$J$19)*Rampa!S16</f>
        <v>21.888</v>
      </c>
      <c r="AC19" s="25">
        <f>$F$19*$H$19*$I$19*(1-$J$19)*Rampa!T16</f>
        <v>21.888</v>
      </c>
      <c r="AD19" s="25">
        <f>$F$19*$H$19*$I$19*(1-$J$19)*Rampa!U16</f>
        <v>21.888</v>
      </c>
      <c r="AE19" s="25">
        <f>$F$19*$H$19*$I$19*(1-$J$19)*Rampa!V16</f>
        <v>21.888</v>
      </c>
      <c r="AF19" s="25">
        <f>$F$19*$H$19*$I$19*(1-$J$19)*Rampa!W16</f>
        <v>21.888</v>
      </c>
      <c r="AG19" s="25">
        <f>$F$19*$H$19*$I$19*(1-$J$19)*Rampa!X16</f>
        <v>21.888</v>
      </c>
      <c r="AH19" s="25">
        <f>$F$19*$H$19*$I$19*(1-$J$19)*Rampa!Y16</f>
        <v>21.888</v>
      </c>
      <c r="AI19" s="25">
        <f>$F$19*$H$19*$I$19*(1-$J$19)*Rampa!Z16</f>
        <v>21.888</v>
      </c>
      <c r="AJ19" s="25">
        <f>$F$19*$H$19*$I$19*(1-$J$19)*Rampa!AA16</f>
        <v>21.888</v>
      </c>
      <c r="AK19" s="25">
        <f>$F$19*$H$19*$I$19*(1-$J$19)*Rampa!AB16</f>
        <v>21.888</v>
      </c>
      <c r="AL19" s="25">
        <f>$F$19*$H$19*$I$19*(1-$J$19)*Rampa!AC16</f>
        <v>21.888</v>
      </c>
      <c r="AM19" s="25">
        <f>$F$19*$H$19*$I$19*(1-$J$19)*Rampa!AD16</f>
        <v>21.888</v>
      </c>
      <c r="AN19" s="25">
        <f>$F$19*$H$19*$I$19*(1-$J$19)*Rampa!AE16</f>
        <v>21.888</v>
      </c>
      <c r="AO19" s="25">
        <f>$F$19*$H$19*$I$19*(1-$J$19)*Rampa!AF16</f>
        <v>21.888</v>
      </c>
      <c r="AP19" s="25">
        <f>$F$19*$H$19*$I$19*(1-$J$19)*Rampa!AG16</f>
        <v>21.888</v>
      </c>
      <c r="AQ19" s="25">
        <f>$F$19*$H$19*$I$19*(1-$J$19)*Rampa!AH16</f>
        <v>21.888</v>
      </c>
      <c r="AR19" s="25">
        <f>$F$19*$H$19*$I$19*(1-$J$19)*Rampa!AI16</f>
        <v>21.888</v>
      </c>
      <c r="AS19" s="25">
        <f>$F$19*$H$19*$I$19*(1-$J$19)*Rampa!AJ16</f>
        <v>21.888</v>
      </c>
      <c r="AT19" s="26">
        <f>$F$19*$H$19*$I$19*(1-$J$19)*Rampa!AK16</f>
        <v>21.888</v>
      </c>
    </row>
    <row r="20" ht="12.0" customHeight="1">
      <c r="A20" s="1"/>
      <c r="B20" s="46"/>
      <c r="C20" s="18"/>
      <c r="D20" s="20" t="s">
        <v>83</v>
      </c>
      <c r="E20" s="21" t="s">
        <v>84</v>
      </c>
      <c r="F20" s="39">
        <v>8.0</v>
      </c>
      <c r="G20" s="27" t="s">
        <v>49</v>
      </c>
      <c r="H20" s="23">
        <v>0.025</v>
      </c>
      <c r="I20" s="21">
        <v>730.0</v>
      </c>
      <c r="J20" s="24">
        <v>0.05</v>
      </c>
      <c r="K20" s="25">
        <f>$F$20*$H$20*$I$20*(1-$J$20)*Rampa!B16</f>
        <v>0</v>
      </c>
      <c r="L20" s="25">
        <f>$F$20*$H$20*$I$20*(1-$J$20)*Rampa!C16</f>
        <v>138.7</v>
      </c>
      <c r="M20" s="25">
        <f>$F$20*$H$20*$I$20*(1-$J$20)*Rampa!D16</f>
        <v>138.7</v>
      </c>
      <c r="N20" s="25">
        <f>$F$20*$H$20*$I$20*(1-$J$20)*Rampa!E16</f>
        <v>138.7</v>
      </c>
      <c r="O20" s="25">
        <f>$F$20*$H$20*$I$20*(1-$J$20)*Rampa!F16</f>
        <v>138.7</v>
      </c>
      <c r="P20" s="25">
        <f>$F$20*$H$20*$I$20*(1-$J$20)*Rampa!G16</f>
        <v>138.7</v>
      </c>
      <c r="Q20" s="25">
        <f>$F$20*$H$20*$I$20*(1-$J$20)*Rampa!H16</f>
        <v>138.7</v>
      </c>
      <c r="R20" s="25">
        <f>$F$20*$H$20*$I$20*(1-$J$20)*Rampa!I16</f>
        <v>138.7</v>
      </c>
      <c r="S20" s="25">
        <f>$F$20*$H$20*$I$20*(1-$J$20)*Rampa!J16</f>
        <v>138.7</v>
      </c>
      <c r="T20" s="25">
        <f>$F$20*$H$20*$I$20*(1-$J$20)*Rampa!K16</f>
        <v>138.7</v>
      </c>
      <c r="U20" s="25">
        <f>$F$20*$H$20*$I$20*(1-$J$20)*Rampa!L16</f>
        <v>138.7</v>
      </c>
      <c r="V20" s="25">
        <f>$F$20*$H$20*$I$20*(1-$J$20)*Rampa!M16</f>
        <v>138.7</v>
      </c>
      <c r="W20" s="25">
        <f>$F$20*$H$20*$I$20*(1-$J$20)*Rampa!N16</f>
        <v>138.7</v>
      </c>
      <c r="X20" s="25">
        <f>$F$20*$H$20*$I$20*(1-$J$20)*Rampa!O16</f>
        <v>138.7</v>
      </c>
      <c r="Y20" s="25">
        <f>$F$20*$H$20*$I$20*(1-$J$20)*Rampa!P16</f>
        <v>138.7</v>
      </c>
      <c r="Z20" s="25">
        <f>$F$20*$H$20*$I$20*(1-$J$20)*Rampa!Q16</f>
        <v>138.7</v>
      </c>
      <c r="AA20" s="25">
        <f>$F$20*$H$20*$I$20*(1-$J$20)*Rampa!R16</f>
        <v>138.7</v>
      </c>
      <c r="AB20" s="25">
        <f>$F$20*$H$20*$I$20*(1-$J$20)*Rampa!S16</f>
        <v>138.7</v>
      </c>
      <c r="AC20" s="25">
        <f>$F$20*$H$20*$I$20*(1-$J$20)*Rampa!T16</f>
        <v>138.7</v>
      </c>
      <c r="AD20" s="25">
        <f>$F$20*$H$20*$I$20*(1-$J$20)*Rampa!U16</f>
        <v>138.7</v>
      </c>
      <c r="AE20" s="25">
        <f>$F$20*$H$20*$I$20*(1-$J$20)*Rampa!V16</f>
        <v>138.7</v>
      </c>
      <c r="AF20" s="25">
        <f>$F$20*$H$20*$I$20*(1-$J$20)*Rampa!W16</f>
        <v>138.7</v>
      </c>
      <c r="AG20" s="25">
        <f>$F$20*$H$20*$I$20*(1-$J$20)*Rampa!X16</f>
        <v>138.7</v>
      </c>
      <c r="AH20" s="25">
        <f>$F$20*$H$20*$I$20*(1-$J$20)*Rampa!Y16</f>
        <v>138.7</v>
      </c>
      <c r="AI20" s="25">
        <f>$F$20*$H$20*$I$20*(1-$J$20)*Rampa!Z16</f>
        <v>138.7</v>
      </c>
      <c r="AJ20" s="25">
        <f>$F$20*$H$20*$I$20*(1-$J$20)*Rampa!AA16</f>
        <v>138.7</v>
      </c>
      <c r="AK20" s="25">
        <f>$F$20*$H$20*$I$20*(1-$J$20)*Rampa!AB16</f>
        <v>138.7</v>
      </c>
      <c r="AL20" s="25">
        <f>$F$20*$H$20*$I$20*(1-$J$20)*Rampa!AC16</f>
        <v>138.7</v>
      </c>
      <c r="AM20" s="25">
        <f>$F$20*$H$20*$I$20*(1-$J$20)*Rampa!AD16</f>
        <v>138.7</v>
      </c>
      <c r="AN20" s="25">
        <f>$F$20*$H$20*$I$20*(1-$J$20)*Rampa!AE16</f>
        <v>138.7</v>
      </c>
      <c r="AO20" s="25">
        <f>$F$20*$H$20*$I$20*(1-$J$20)*Rampa!AF16</f>
        <v>138.7</v>
      </c>
      <c r="AP20" s="25">
        <f>$F$20*$H$20*$I$20*(1-$J$20)*Rampa!AG16</f>
        <v>138.7</v>
      </c>
      <c r="AQ20" s="25">
        <f>$F$20*$H$20*$I$20*(1-$J$20)*Rampa!AH16</f>
        <v>138.7</v>
      </c>
      <c r="AR20" s="25">
        <f>$F$20*$H$20*$I$20*(1-$J$20)*Rampa!AI16</f>
        <v>138.7</v>
      </c>
      <c r="AS20" s="25">
        <f>$F$20*$H$20*$I$20*(1-$J$20)*Rampa!AJ16</f>
        <v>138.7</v>
      </c>
      <c r="AT20" s="26">
        <f>$F$20*$H$20*$I$20*(1-$J$20)*Rampa!AK16</f>
        <v>138.7</v>
      </c>
    </row>
    <row r="21" ht="12.0" customHeight="1">
      <c r="A21" s="1"/>
      <c r="B21" s="46"/>
      <c r="C21" s="18"/>
      <c r="D21" s="20" t="s">
        <v>85</v>
      </c>
      <c r="E21" s="21" t="s">
        <v>86</v>
      </c>
      <c r="F21" s="39">
        <v>128.0</v>
      </c>
      <c r="G21" s="27" t="s">
        <v>87</v>
      </c>
      <c r="H21" s="23">
        <v>0.0015</v>
      </c>
      <c r="I21" s="21">
        <v>730.0</v>
      </c>
      <c r="J21" s="24">
        <v>0.05</v>
      </c>
      <c r="K21" s="25">
        <f>$F$21*$H$21*$I$21*(1-$J$21)*Rampa!B16</f>
        <v>0</v>
      </c>
      <c r="L21" s="25">
        <f>$F$21*$H$21*$I$21*(1-$J$21)*Rampa!C16</f>
        <v>133.152</v>
      </c>
      <c r="M21" s="25">
        <f>$F$21*$H$21*$I$21*(1-$J$21)*Rampa!D16</f>
        <v>133.152</v>
      </c>
      <c r="N21" s="25">
        <f>$F$21*$H$21*$I$21*(1-$J$21)*Rampa!E16</f>
        <v>133.152</v>
      </c>
      <c r="O21" s="25">
        <f>$F$21*$H$21*$I$21*(1-$J$21)*Rampa!F16</f>
        <v>133.152</v>
      </c>
      <c r="P21" s="25">
        <f>$F$21*$H$21*$I$21*(1-$J$21)*Rampa!G16</f>
        <v>133.152</v>
      </c>
      <c r="Q21" s="25">
        <f>$F$21*$H$21*$I$21*(1-$J$21)*Rampa!H16</f>
        <v>133.152</v>
      </c>
      <c r="R21" s="25">
        <f>$F$21*$H$21*$I$21*(1-$J$21)*Rampa!I16</f>
        <v>133.152</v>
      </c>
      <c r="S21" s="25">
        <f>$F$21*$H$21*$I$21*(1-$J$21)*Rampa!J16</f>
        <v>133.152</v>
      </c>
      <c r="T21" s="25">
        <f>$F$21*$H$21*$I$21*(1-$J$21)*Rampa!K16</f>
        <v>133.152</v>
      </c>
      <c r="U21" s="25">
        <f>$F$21*$H$21*$I$21*(1-$J$21)*Rampa!L16</f>
        <v>133.152</v>
      </c>
      <c r="V21" s="25">
        <f>$F$21*$H$21*$I$21*(1-$J$21)*Rampa!M16</f>
        <v>133.152</v>
      </c>
      <c r="W21" s="25">
        <f>$F$21*$H$21*$I$21*(1-$J$21)*Rampa!N16</f>
        <v>133.152</v>
      </c>
      <c r="X21" s="25">
        <f>$F$21*$H$21*$I$21*(1-$J$21)*Rampa!O16</f>
        <v>133.152</v>
      </c>
      <c r="Y21" s="25">
        <f>$F$21*$H$21*$I$21*(1-$J$21)*Rampa!P16</f>
        <v>133.152</v>
      </c>
      <c r="Z21" s="25">
        <f>$F$21*$H$21*$I$21*(1-$J$21)*Rampa!Q16</f>
        <v>133.152</v>
      </c>
      <c r="AA21" s="25">
        <f>$F$21*$H$21*$I$21*(1-$J$21)*Rampa!R16</f>
        <v>133.152</v>
      </c>
      <c r="AB21" s="25">
        <f>$F$21*$H$21*$I$21*(1-$J$21)*Rampa!S16</f>
        <v>133.152</v>
      </c>
      <c r="AC21" s="25">
        <f>$F$21*$H$21*$I$21*(1-$J$21)*Rampa!T16</f>
        <v>133.152</v>
      </c>
      <c r="AD21" s="25">
        <f>$F$21*$H$21*$I$21*(1-$J$21)*Rampa!U16</f>
        <v>133.152</v>
      </c>
      <c r="AE21" s="25">
        <f>$F$21*$H$21*$I$21*(1-$J$21)*Rampa!V16</f>
        <v>133.152</v>
      </c>
      <c r="AF21" s="25">
        <f>$F$21*$H$21*$I$21*(1-$J$21)*Rampa!W16</f>
        <v>133.152</v>
      </c>
      <c r="AG21" s="25">
        <f>$F$21*$H$21*$I$21*(1-$J$21)*Rampa!X16</f>
        <v>133.152</v>
      </c>
      <c r="AH21" s="25">
        <f>$F$21*$H$21*$I$21*(1-$J$21)*Rampa!Y16</f>
        <v>133.152</v>
      </c>
      <c r="AI21" s="25">
        <f>$F$21*$H$21*$I$21*(1-$J$21)*Rampa!Z16</f>
        <v>133.152</v>
      </c>
      <c r="AJ21" s="25">
        <f>$F$21*$H$21*$I$21*(1-$J$21)*Rampa!AA16</f>
        <v>133.152</v>
      </c>
      <c r="AK21" s="25">
        <f>$F$21*$H$21*$I$21*(1-$J$21)*Rampa!AB16</f>
        <v>133.152</v>
      </c>
      <c r="AL21" s="25">
        <f>$F$21*$H$21*$I$21*(1-$J$21)*Rampa!AC16</f>
        <v>133.152</v>
      </c>
      <c r="AM21" s="25">
        <f>$F$21*$H$21*$I$21*(1-$J$21)*Rampa!AD16</f>
        <v>133.152</v>
      </c>
      <c r="AN21" s="25">
        <f>$F$21*$H$21*$I$21*(1-$J$21)*Rampa!AE16</f>
        <v>133.152</v>
      </c>
      <c r="AO21" s="25">
        <f>$F$21*$H$21*$I$21*(1-$J$21)*Rampa!AF16</f>
        <v>133.152</v>
      </c>
      <c r="AP21" s="25">
        <f>$F$21*$H$21*$I$21*(1-$J$21)*Rampa!AG16</f>
        <v>133.152</v>
      </c>
      <c r="AQ21" s="25">
        <f>$F$21*$H$21*$I$21*(1-$J$21)*Rampa!AH16</f>
        <v>133.152</v>
      </c>
      <c r="AR21" s="25">
        <f>$F$21*$H$21*$I$21*(1-$J$21)*Rampa!AI16</f>
        <v>133.152</v>
      </c>
      <c r="AS21" s="25">
        <f>$F$21*$H$21*$I$21*(1-$J$21)*Rampa!AJ16</f>
        <v>133.152</v>
      </c>
      <c r="AT21" s="26">
        <f>$F$21*$H$21*$I$21*(1-$J$21)*Rampa!AK16</f>
        <v>133.152</v>
      </c>
    </row>
    <row r="22" ht="12.0" customHeight="1">
      <c r="A22" s="1"/>
      <c r="B22" s="46"/>
      <c r="C22" s="18"/>
      <c r="D22" s="20" t="s">
        <v>50</v>
      </c>
      <c r="E22" s="21" t="s">
        <v>51</v>
      </c>
      <c r="F22" s="39">
        <v>320.0</v>
      </c>
      <c r="G22" s="27" t="s">
        <v>52</v>
      </c>
      <c r="H22" s="23">
        <v>0.0255</v>
      </c>
      <c r="I22" s="21">
        <v>1.0</v>
      </c>
      <c r="J22" s="24">
        <v>0.05</v>
      </c>
      <c r="K22" s="25">
        <f>$F$22*$H$22*$I$22*(1-$J$22)*Rampa!B16</f>
        <v>0</v>
      </c>
      <c r="L22" s="25">
        <f>$F$22*$H$22*$I$22*(1-$J$22)*Rampa!C16</f>
        <v>7.752</v>
      </c>
      <c r="M22" s="25">
        <f>$F$22*$H$22*$I$22*(1-$J$22)*Rampa!D16</f>
        <v>7.752</v>
      </c>
      <c r="N22" s="25">
        <f>$F$22*$H$22*$I$22*(1-$J$22)*Rampa!E16</f>
        <v>7.752</v>
      </c>
      <c r="O22" s="25">
        <f>$F$22*$H$22*$I$22*(1-$J$22)*Rampa!F16</f>
        <v>7.752</v>
      </c>
      <c r="P22" s="25">
        <f>$F$22*$H$22*$I$22*(1-$J$22)*Rampa!G16</f>
        <v>7.752</v>
      </c>
      <c r="Q22" s="25">
        <f>$F$22*$H$22*$I$22*(1-$J$22)*Rampa!H16</f>
        <v>7.752</v>
      </c>
      <c r="R22" s="25">
        <f>$F$22*$H$22*$I$22*(1-$J$22)*Rampa!I16</f>
        <v>7.752</v>
      </c>
      <c r="S22" s="25">
        <f>$F$22*$H$22*$I$22*(1-$J$22)*Rampa!J16</f>
        <v>7.752</v>
      </c>
      <c r="T22" s="25">
        <f>$F$22*$H$22*$I$22*(1-$J$22)*Rampa!K16</f>
        <v>7.752</v>
      </c>
      <c r="U22" s="25">
        <f>$F$22*$H$22*$I$22*(1-$J$22)*Rampa!L16</f>
        <v>7.752</v>
      </c>
      <c r="V22" s="25">
        <f>$F$22*$H$22*$I$22*(1-$J$22)*Rampa!M16</f>
        <v>7.752</v>
      </c>
      <c r="W22" s="25">
        <f>$F$22*$H$22*$I$22*(1-$J$22)*Rampa!N16</f>
        <v>7.752</v>
      </c>
      <c r="X22" s="25">
        <f>$F$22*$H$22*$I$22*(1-$J$22)*Rampa!O16</f>
        <v>7.752</v>
      </c>
      <c r="Y22" s="25">
        <f>$F$22*$H$22*$I$22*(1-$J$22)*Rampa!P16</f>
        <v>7.752</v>
      </c>
      <c r="Z22" s="25">
        <f>$F$22*$H$22*$I$22*(1-$J$22)*Rampa!Q16</f>
        <v>7.752</v>
      </c>
      <c r="AA22" s="25">
        <f>$F$22*$H$22*$I$22*(1-$J$22)*Rampa!R16</f>
        <v>7.752</v>
      </c>
      <c r="AB22" s="25">
        <f>$F$22*$H$22*$I$22*(1-$J$22)*Rampa!S16</f>
        <v>7.752</v>
      </c>
      <c r="AC22" s="25">
        <f>$F$22*$H$22*$I$22*(1-$J$22)*Rampa!T16</f>
        <v>7.752</v>
      </c>
      <c r="AD22" s="25">
        <f>$F$22*$H$22*$I$22*(1-$J$22)*Rampa!U16</f>
        <v>7.752</v>
      </c>
      <c r="AE22" s="25">
        <f>$F$22*$H$22*$I$22*(1-$J$22)*Rampa!V16</f>
        <v>7.752</v>
      </c>
      <c r="AF22" s="25">
        <f>$F$22*$H$22*$I$22*(1-$J$22)*Rampa!W16</f>
        <v>7.752</v>
      </c>
      <c r="AG22" s="25">
        <f>$F$22*$H$22*$I$22*(1-$J$22)*Rampa!X16</f>
        <v>7.752</v>
      </c>
      <c r="AH22" s="25">
        <f>$F$22*$H$22*$I$22*(1-$J$22)*Rampa!Y16</f>
        <v>7.752</v>
      </c>
      <c r="AI22" s="25">
        <f>$F$22*$H$22*$I$22*(1-$J$22)*Rampa!Z16</f>
        <v>7.752</v>
      </c>
      <c r="AJ22" s="25">
        <f>$F$22*$H$22*$I$22*(1-$J$22)*Rampa!AA16</f>
        <v>7.752</v>
      </c>
      <c r="AK22" s="25">
        <f>$F$22*$H$22*$I$22*(1-$J$22)*Rampa!AB16</f>
        <v>7.752</v>
      </c>
      <c r="AL22" s="25">
        <f>$F$22*$H$22*$I$22*(1-$J$22)*Rampa!AC16</f>
        <v>7.752</v>
      </c>
      <c r="AM22" s="25">
        <f>$F$22*$H$22*$I$22*(1-$J$22)*Rampa!AD16</f>
        <v>7.752</v>
      </c>
      <c r="AN22" s="25">
        <f>$F$22*$H$22*$I$22*(1-$J$22)*Rampa!AE16</f>
        <v>7.752</v>
      </c>
      <c r="AO22" s="25">
        <f>$F$22*$H$22*$I$22*(1-$J$22)*Rampa!AF16</f>
        <v>7.752</v>
      </c>
      <c r="AP22" s="25">
        <f>$F$22*$H$22*$I$22*(1-$J$22)*Rampa!AG16</f>
        <v>7.752</v>
      </c>
      <c r="AQ22" s="25">
        <f>$F$22*$H$22*$I$22*(1-$J$22)*Rampa!AH16</f>
        <v>7.752</v>
      </c>
      <c r="AR22" s="25">
        <f>$F$22*$H$22*$I$22*(1-$J$22)*Rampa!AI16</f>
        <v>7.752</v>
      </c>
      <c r="AS22" s="25">
        <f>$F$22*$H$22*$I$22*(1-$J$22)*Rampa!AJ16</f>
        <v>7.752</v>
      </c>
      <c r="AT22" s="26">
        <f>$F$22*$H$22*$I$22*(1-$J$22)*Rampa!AK16</f>
        <v>7.752</v>
      </c>
    </row>
    <row r="23" ht="12.0" customHeight="1">
      <c r="A23" s="1"/>
      <c r="B23" s="46"/>
      <c r="C23" s="29"/>
      <c r="D23" s="31" t="s">
        <v>53</v>
      </c>
      <c r="E23" s="32" t="s">
        <v>54</v>
      </c>
      <c r="F23" s="47">
        <v>38400.0</v>
      </c>
      <c r="G23" s="41" t="s">
        <v>55</v>
      </c>
      <c r="H23" s="33">
        <v>0.0017</v>
      </c>
      <c r="I23" s="32">
        <v>1.0</v>
      </c>
      <c r="J23" s="34">
        <v>0.05</v>
      </c>
      <c r="K23" s="35">
        <f>$F$23*$H$23*$I$23*(1-$J$23)*Rampa!B16</f>
        <v>0</v>
      </c>
      <c r="L23" s="35">
        <f>$F$23*$H$23*$I$23*(1-$J$23)*Rampa!C16</f>
        <v>62.016</v>
      </c>
      <c r="M23" s="35">
        <f>$F$23*$H$23*$I$23*(1-$J$23)*Rampa!D16</f>
        <v>62.016</v>
      </c>
      <c r="N23" s="35">
        <f>$F$23*$H$23*$I$23*(1-$J$23)*Rampa!E16</f>
        <v>62.016</v>
      </c>
      <c r="O23" s="35">
        <f>$F$23*$H$23*$I$23*(1-$J$23)*Rampa!F16</f>
        <v>62.016</v>
      </c>
      <c r="P23" s="35">
        <f>$F$23*$H$23*$I$23*(1-$J$23)*Rampa!G16</f>
        <v>62.016</v>
      </c>
      <c r="Q23" s="35">
        <f>$F$23*$H$23*$I$23*(1-$J$23)*Rampa!H16</f>
        <v>62.016</v>
      </c>
      <c r="R23" s="35">
        <f>$F$23*$H$23*$I$23*(1-$J$23)*Rampa!I16</f>
        <v>62.016</v>
      </c>
      <c r="S23" s="35">
        <f>$F$23*$H$23*$I$23*(1-$J$23)*Rampa!J16</f>
        <v>62.016</v>
      </c>
      <c r="T23" s="35">
        <f>$F$23*$H$23*$I$23*(1-$J$23)*Rampa!K16</f>
        <v>62.016</v>
      </c>
      <c r="U23" s="35">
        <f>$F$23*$H$23*$I$23*(1-$J$23)*Rampa!L16</f>
        <v>62.016</v>
      </c>
      <c r="V23" s="35">
        <f>$F$23*$H$23*$I$23*(1-$J$23)*Rampa!M16</f>
        <v>62.016</v>
      </c>
      <c r="W23" s="35">
        <f>$F$23*$H$23*$I$23*(1-$J$23)*Rampa!N16</f>
        <v>62.016</v>
      </c>
      <c r="X23" s="35">
        <f>$F$23*$H$23*$I$23*(1-$J$23)*Rampa!O16</f>
        <v>62.016</v>
      </c>
      <c r="Y23" s="35">
        <f>$F$23*$H$23*$I$23*(1-$J$23)*Rampa!P16</f>
        <v>62.016</v>
      </c>
      <c r="Z23" s="35">
        <f>$F$23*$H$23*$I$23*(1-$J$23)*Rampa!Q16</f>
        <v>62.016</v>
      </c>
      <c r="AA23" s="35">
        <f>$F$23*$H$23*$I$23*(1-$J$23)*Rampa!R16</f>
        <v>62.016</v>
      </c>
      <c r="AB23" s="35">
        <f>$F$23*$H$23*$I$23*(1-$J$23)*Rampa!S16</f>
        <v>62.016</v>
      </c>
      <c r="AC23" s="35">
        <f>$F$23*$H$23*$I$23*(1-$J$23)*Rampa!T16</f>
        <v>62.016</v>
      </c>
      <c r="AD23" s="35">
        <f>$F$23*$H$23*$I$23*(1-$J$23)*Rampa!U16</f>
        <v>62.016</v>
      </c>
      <c r="AE23" s="35">
        <f>$F$23*$H$23*$I$23*(1-$J$23)*Rampa!V16</f>
        <v>62.016</v>
      </c>
      <c r="AF23" s="35">
        <f>$F$23*$H$23*$I$23*(1-$J$23)*Rampa!W16</f>
        <v>62.016</v>
      </c>
      <c r="AG23" s="35">
        <f>$F$23*$H$23*$I$23*(1-$J$23)*Rampa!X16</f>
        <v>62.016</v>
      </c>
      <c r="AH23" s="35">
        <f>$F$23*$H$23*$I$23*(1-$J$23)*Rampa!Y16</f>
        <v>62.016</v>
      </c>
      <c r="AI23" s="35">
        <f>$F$23*$H$23*$I$23*(1-$J$23)*Rampa!Z16</f>
        <v>62.016</v>
      </c>
      <c r="AJ23" s="35">
        <f>$F$23*$H$23*$I$23*(1-$J$23)*Rampa!AA16</f>
        <v>62.016</v>
      </c>
      <c r="AK23" s="35">
        <f>$F$23*$H$23*$I$23*(1-$J$23)*Rampa!AB16</f>
        <v>62.016</v>
      </c>
      <c r="AL23" s="35">
        <f>$F$23*$H$23*$I$23*(1-$J$23)*Rampa!AC16</f>
        <v>62.016</v>
      </c>
      <c r="AM23" s="35">
        <f>$F$23*$H$23*$I$23*(1-$J$23)*Rampa!AD16</f>
        <v>62.016</v>
      </c>
      <c r="AN23" s="35">
        <f>$F$23*$H$23*$I$23*(1-$J$23)*Rampa!AE16</f>
        <v>62.016</v>
      </c>
      <c r="AO23" s="35">
        <f>$F$23*$H$23*$I$23*(1-$J$23)*Rampa!AF16</f>
        <v>62.016</v>
      </c>
      <c r="AP23" s="35">
        <f>$F$23*$H$23*$I$23*(1-$J$23)*Rampa!AG16</f>
        <v>62.016</v>
      </c>
      <c r="AQ23" s="35">
        <f>$F$23*$H$23*$I$23*(1-$J$23)*Rampa!AH16</f>
        <v>62.016</v>
      </c>
      <c r="AR23" s="35">
        <f>$F$23*$H$23*$I$23*(1-$J$23)*Rampa!AI16</f>
        <v>62.016</v>
      </c>
      <c r="AS23" s="35">
        <f>$F$23*$H$23*$I$23*(1-$J$23)*Rampa!AJ16</f>
        <v>62.016</v>
      </c>
      <c r="AT23" s="36">
        <f>$F$23*$H$23*$I$23*(1-$J$23)*Rampa!AK16</f>
        <v>62.016</v>
      </c>
    </row>
    <row r="24" ht="12.0" customHeight="1">
      <c r="A24" s="1"/>
      <c r="B24" s="46"/>
      <c r="C24" s="43" t="s">
        <v>88</v>
      </c>
      <c r="D24" s="11" t="s">
        <v>79</v>
      </c>
      <c r="E24" s="12" t="s">
        <v>80</v>
      </c>
      <c r="F24" s="44">
        <v>8.0</v>
      </c>
      <c r="G24" s="45" t="s">
        <v>49</v>
      </c>
      <c r="H24" s="14">
        <v>0.098</v>
      </c>
      <c r="I24" s="12">
        <v>730.0</v>
      </c>
      <c r="J24" s="15">
        <v>0.05</v>
      </c>
      <c r="K24" s="16">
        <f>$F$24*$H$24*$I$24*(1-$J$24)*Rampa!B17</f>
        <v>0</v>
      </c>
      <c r="L24" s="16">
        <f>$F$24*$H$24*$I$24*(1-$J$24)*Rampa!C17</f>
        <v>543.704</v>
      </c>
      <c r="M24" s="16">
        <f>$F$24*$H$24*$I$24*(1-$J$24)*Rampa!D17</f>
        <v>543.704</v>
      </c>
      <c r="N24" s="16">
        <f>$F$24*$H$24*$I$24*(1-$J$24)*Rampa!E17</f>
        <v>543.704</v>
      </c>
      <c r="O24" s="16">
        <f>$F$24*$H$24*$I$24*(1-$J$24)*Rampa!F17</f>
        <v>543.704</v>
      </c>
      <c r="P24" s="16">
        <f>$F$24*$H$24*$I$24*(1-$J$24)*Rampa!G17</f>
        <v>543.704</v>
      </c>
      <c r="Q24" s="16">
        <f>$F$24*$H$24*$I$24*(1-$J$24)*Rampa!H17</f>
        <v>543.704</v>
      </c>
      <c r="R24" s="16">
        <f>$F$24*$H$24*$I$24*(1-$J$24)*Rampa!I17</f>
        <v>543.704</v>
      </c>
      <c r="S24" s="16">
        <f>$F$24*$H$24*$I$24*(1-$J$24)*Rampa!J17</f>
        <v>543.704</v>
      </c>
      <c r="T24" s="16">
        <f>$F$24*$H$24*$I$24*(1-$J$24)*Rampa!K17</f>
        <v>543.704</v>
      </c>
      <c r="U24" s="16">
        <f>$F$24*$H$24*$I$24*(1-$J$24)*Rampa!L17</f>
        <v>543.704</v>
      </c>
      <c r="V24" s="16">
        <f>$F$24*$H$24*$I$24*(1-$J$24)*Rampa!M17</f>
        <v>543.704</v>
      </c>
      <c r="W24" s="16">
        <f>$F$24*$H$24*$I$24*(1-$J$24)*Rampa!N17</f>
        <v>543.704</v>
      </c>
      <c r="X24" s="16">
        <f>$F$24*$H$24*$I$24*(1-$J$24)*Rampa!O17</f>
        <v>543.704</v>
      </c>
      <c r="Y24" s="16">
        <f>$F$24*$H$24*$I$24*(1-$J$24)*Rampa!P17</f>
        <v>543.704</v>
      </c>
      <c r="Z24" s="16">
        <f>$F$24*$H$24*$I$24*(1-$J$24)*Rampa!Q17</f>
        <v>543.704</v>
      </c>
      <c r="AA24" s="16">
        <f>$F$24*$H$24*$I$24*(1-$J$24)*Rampa!R17</f>
        <v>543.704</v>
      </c>
      <c r="AB24" s="16">
        <f>$F$24*$H$24*$I$24*(1-$J$24)*Rampa!S17</f>
        <v>543.704</v>
      </c>
      <c r="AC24" s="16">
        <f>$F$24*$H$24*$I$24*(1-$J$24)*Rampa!T17</f>
        <v>543.704</v>
      </c>
      <c r="AD24" s="16">
        <f>$F$24*$H$24*$I$24*(1-$J$24)*Rampa!U17</f>
        <v>543.704</v>
      </c>
      <c r="AE24" s="16">
        <f>$F$24*$H$24*$I$24*(1-$J$24)*Rampa!V17</f>
        <v>543.704</v>
      </c>
      <c r="AF24" s="16">
        <f>$F$24*$H$24*$I$24*(1-$J$24)*Rampa!W17</f>
        <v>543.704</v>
      </c>
      <c r="AG24" s="16">
        <f>$F$24*$H$24*$I$24*(1-$J$24)*Rampa!X17</f>
        <v>543.704</v>
      </c>
      <c r="AH24" s="16">
        <f>$F$24*$H$24*$I$24*(1-$J$24)*Rampa!Y17</f>
        <v>543.704</v>
      </c>
      <c r="AI24" s="16">
        <f>$F$24*$H$24*$I$24*(1-$J$24)*Rampa!Z17</f>
        <v>543.704</v>
      </c>
      <c r="AJ24" s="16">
        <f>$F$24*$H$24*$I$24*(1-$J$24)*Rampa!AA17</f>
        <v>543.704</v>
      </c>
      <c r="AK24" s="16">
        <f>$F$24*$H$24*$I$24*(1-$J$24)*Rampa!AB17</f>
        <v>543.704</v>
      </c>
      <c r="AL24" s="16">
        <f>$F$24*$H$24*$I$24*(1-$J$24)*Rampa!AC17</f>
        <v>543.704</v>
      </c>
      <c r="AM24" s="16">
        <f>$F$24*$H$24*$I$24*(1-$J$24)*Rampa!AD17</f>
        <v>543.704</v>
      </c>
      <c r="AN24" s="16">
        <f>$F$24*$H$24*$I$24*(1-$J$24)*Rampa!AE17</f>
        <v>543.704</v>
      </c>
      <c r="AO24" s="16">
        <f>$F$24*$H$24*$I$24*(1-$J$24)*Rampa!AF17</f>
        <v>543.704</v>
      </c>
      <c r="AP24" s="16">
        <f>$F$24*$H$24*$I$24*(1-$J$24)*Rampa!AG17</f>
        <v>543.704</v>
      </c>
      <c r="AQ24" s="16">
        <f>$F$24*$H$24*$I$24*(1-$J$24)*Rampa!AH17</f>
        <v>543.704</v>
      </c>
      <c r="AR24" s="16">
        <f>$F$24*$H$24*$I$24*(1-$J$24)*Rampa!AI17</f>
        <v>543.704</v>
      </c>
      <c r="AS24" s="16">
        <f>$F$24*$H$24*$I$24*(1-$J$24)*Rampa!AJ17</f>
        <v>543.704</v>
      </c>
      <c r="AT24" s="17">
        <f>$F$24*$H$24*$I$24*(1-$J$24)*Rampa!AK17</f>
        <v>543.704</v>
      </c>
    </row>
    <row r="25" ht="12.0" customHeight="1">
      <c r="A25" s="1"/>
      <c r="B25" s="46"/>
      <c r="C25" s="18"/>
      <c r="D25" s="20" t="s">
        <v>81</v>
      </c>
      <c r="E25" s="21" t="s">
        <v>82</v>
      </c>
      <c r="F25" s="39">
        <v>413.0</v>
      </c>
      <c r="G25" s="27" t="s">
        <v>52</v>
      </c>
      <c r="H25" s="23">
        <v>0.072</v>
      </c>
      <c r="I25" s="21">
        <v>1.0</v>
      </c>
      <c r="J25" s="24">
        <v>0.05</v>
      </c>
      <c r="K25" s="25">
        <f>$F$25*$H$25*$I$25*(1-$J$25)*Rampa!B17</f>
        <v>0</v>
      </c>
      <c r="L25" s="25">
        <f>$F$25*$H$25*$I$25*(1-$J$25)*Rampa!C17</f>
        <v>28.2492</v>
      </c>
      <c r="M25" s="25">
        <f>$F$25*$H$25*$I$25*(1-$J$25)*Rampa!D17</f>
        <v>28.2492</v>
      </c>
      <c r="N25" s="25">
        <f>$F$25*$H$25*$I$25*(1-$J$25)*Rampa!E17</f>
        <v>28.2492</v>
      </c>
      <c r="O25" s="25">
        <f>$F$25*$H$25*$I$25*(1-$J$25)*Rampa!F17</f>
        <v>28.2492</v>
      </c>
      <c r="P25" s="25">
        <f>$F$25*$H$25*$I$25*(1-$J$25)*Rampa!G17</f>
        <v>28.2492</v>
      </c>
      <c r="Q25" s="25">
        <f>$F$25*$H$25*$I$25*(1-$J$25)*Rampa!H17</f>
        <v>28.2492</v>
      </c>
      <c r="R25" s="25">
        <f>$F$25*$H$25*$I$25*(1-$J$25)*Rampa!I17</f>
        <v>28.2492</v>
      </c>
      <c r="S25" s="25">
        <f>$F$25*$H$25*$I$25*(1-$J$25)*Rampa!J17</f>
        <v>28.2492</v>
      </c>
      <c r="T25" s="25">
        <f>$F$25*$H$25*$I$25*(1-$J$25)*Rampa!K17</f>
        <v>28.2492</v>
      </c>
      <c r="U25" s="25">
        <f>$F$25*$H$25*$I$25*(1-$J$25)*Rampa!L17</f>
        <v>28.2492</v>
      </c>
      <c r="V25" s="25">
        <f>$F$25*$H$25*$I$25*(1-$J$25)*Rampa!M17</f>
        <v>28.2492</v>
      </c>
      <c r="W25" s="25">
        <f>$F$25*$H$25*$I$25*(1-$J$25)*Rampa!N17</f>
        <v>28.2492</v>
      </c>
      <c r="X25" s="25">
        <f>$F$25*$H$25*$I$25*(1-$J$25)*Rampa!O17</f>
        <v>28.2492</v>
      </c>
      <c r="Y25" s="25">
        <f>$F$25*$H$25*$I$25*(1-$J$25)*Rampa!P17</f>
        <v>28.2492</v>
      </c>
      <c r="Z25" s="25">
        <f>$F$25*$H$25*$I$25*(1-$J$25)*Rampa!Q17</f>
        <v>28.2492</v>
      </c>
      <c r="AA25" s="25">
        <f>$F$25*$H$25*$I$25*(1-$J$25)*Rampa!R17</f>
        <v>28.2492</v>
      </c>
      <c r="AB25" s="25">
        <f>$F$25*$H$25*$I$25*(1-$J$25)*Rampa!S17</f>
        <v>28.2492</v>
      </c>
      <c r="AC25" s="25">
        <f>$F$25*$H$25*$I$25*(1-$J$25)*Rampa!T17</f>
        <v>28.2492</v>
      </c>
      <c r="AD25" s="25">
        <f>$F$25*$H$25*$I$25*(1-$J$25)*Rampa!U17</f>
        <v>28.2492</v>
      </c>
      <c r="AE25" s="25">
        <f>$F$25*$H$25*$I$25*(1-$J$25)*Rampa!V17</f>
        <v>28.2492</v>
      </c>
      <c r="AF25" s="25">
        <f>$F$25*$H$25*$I$25*(1-$J$25)*Rampa!W17</f>
        <v>28.2492</v>
      </c>
      <c r="AG25" s="25">
        <f>$F$25*$H$25*$I$25*(1-$J$25)*Rampa!X17</f>
        <v>28.2492</v>
      </c>
      <c r="AH25" s="25">
        <f>$F$25*$H$25*$I$25*(1-$J$25)*Rampa!Y17</f>
        <v>28.2492</v>
      </c>
      <c r="AI25" s="25">
        <f>$F$25*$H$25*$I$25*(1-$J$25)*Rampa!Z17</f>
        <v>28.2492</v>
      </c>
      <c r="AJ25" s="25">
        <f>$F$25*$H$25*$I$25*(1-$J$25)*Rampa!AA17</f>
        <v>28.2492</v>
      </c>
      <c r="AK25" s="25">
        <f>$F$25*$H$25*$I$25*(1-$J$25)*Rampa!AB17</f>
        <v>28.2492</v>
      </c>
      <c r="AL25" s="25">
        <f>$F$25*$H$25*$I$25*(1-$J$25)*Rampa!AC17</f>
        <v>28.2492</v>
      </c>
      <c r="AM25" s="25">
        <f>$F$25*$H$25*$I$25*(1-$J$25)*Rampa!AD17</f>
        <v>28.2492</v>
      </c>
      <c r="AN25" s="25">
        <f>$F$25*$H$25*$I$25*(1-$J$25)*Rampa!AE17</f>
        <v>28.2492</v>
      </c>
      <c r="AO25" s="25">
        <f>$F$25*$H$25*$I$25*(1-$J$25)*Rampa!AF17</f>
        <v>28.2492</v>
      </c>
      <c r="AP25" s="25">
        <f>$F$25*$H$25*$I$25*(1-$J$25)*Rampa!AG17</f>
        <v>28.2492</v>
      </c>
      <c r="AQ25" s="25">
        <f>$F$25*$H$25*$I$25*(1-$J$25)*Rampa!AH17</f>
        <v>28.2492</v>
      </c>
      <c r="AR25" s="25">
        <f>$F$25*$H$25*$I$25*(1-$J$25)*Rampa!AI17</f>
        <v>28.2492</v>
      </c>
      <c r="AS25" s="25">
        <f>$F$25*$H$25*$I$25*(1-$J$25)*Rampa!AJ17</f>
        <v>28.2492</v>
      </c>
      <c r="AT25" s="26">
        <f>$F$25*$H$25*$I$25*(1-$J$25)*Rampa!AK17</f>
        <v>28.2492</v>
      </c>
    </row>
    <row r="26" ht="12.0" customHeight="1">
      <c r="A26" s="1"/>
      <c r="B26" s="46"/>
      <c r="C26" s="18"/>
      <c r="D26" s="20" t="s">
        <v>83</v>
      </c>
      <c r="E26" s="21" t="s">
        <v>84</v>
      </c>
      <c r="F26" s="39">
        <v>8.0</v>
      </c>
      <c r="G26" s="27" t="s">
        <v>49</v>
      </c>
      <c r="H26" s="23">
        <v>0.025</v>
      </c>
      <c r="I26" s="21">
        <v>730.0</v>
      </c>
      <c r="J26" s="24">
        <v>0.05</v>
      </c>
      <c r="K26" s="25">
        <f>$F$26*$H$26*$I$26*(1-$J$26)*Rampa!B17</f>
        <v>0</v>
      </c>
      <c r="L26" s="25">
        <f>$F$26*$H$26*$I$26*(1-$J$26)*Rampa!C17</f>
        <v>138.7</v>
      </c>
      <c r="M26" s="25">
        <f>$F$26*$H$26*$I$26*(1-$J$26)*Rampa!D17</f>
        <v>138.7</v>
      </c>
      <c r="N26" s="25">
        <f>$F$26*$H$26*$I$26*(1-$J$26)*Rampa!E17</f>
        <v>138.7</v>
      </c>
      <c r="O26" s="25">
        <f>$F$26*$H$26*$I$26*(1-$J$26)*Rampa!F17</f>
        <v>138.7</v>
      </c>
      <c r="P26" s="25">
        <f>$F$26*$H$26*$I$26*(1-$J$26)*Rampa!G17</f>
        <v>138.7</v>
      </c>
      <c r="Q26" s="25">
        <f>$F$26*$H$26*$I$26*(1-$J$26)*Rampa!H17</f>
        <v>138.7</v>
      </c>
      <c r="R26" s="25">
        <f>$F$26*$H$26*$I$26*(1-$J$26)*Rampa!I17</f>
        <v>138.7</v>
      </c>
      <c r="S26" s="25">
        <f>$F$26*$H$26*$I$26*(1-$J$26)*Rampa!J17</f>
        <v>138.7</v>
      </c>
      <c r="T26" s="25">
        <f>$F$26*$H$26*$I$26*(1-$J$26)*Rampa!K17</f>
        <v>138.7</v>
      </c>
      <c r="U26" s="25">
        <f>$F$26*$H$26*$I$26*(1-$J$26)*Rampa!L17</f>
        <v>138.7</v>
      </c>
      <c r="V26" s="25">
        <f>$F$26*$H$26*$I$26*(1-$J$26)*Rampa!M17</f>
        <v>138.7</v>
      </c>
      <c r="W26" s="25">
        <f>$F$26*$H$26*$I$26*(1-$J$26)*Rampa!N17</f>
        <v>138.7</v>
      </c>
      <c r="X26" s="25">
        <f>$F$26*$H$26*$I$26*(1-$J$26)*Rampa!O17</f>
        <v>138.7</v>
      </c>
      <c r="Y26" s="25">
        <f>$F$26*$H$26*$I$26*(1-$J$26)*Rampa!P17</f>
        <v>138.7</v>
      </c>
      <c r="Z26" s="25">
        <f>$F$26*$H$26*$I$26*(1-$J$26)*Rampa!Q17</f>
        <v>138.7</v>
      </c>
      <c r="AA26" s="25">
        <f>$F$26*$H$26*$I$26*(1-$J$26)*Rampa!R17</f>
        <v>138.7</v>
      </c>
      <c r="AB26" s="25">
        <f>$F$26*$H$26*$I$26*(1-$J$26)*Rampa!S17</f>
        <v>138.7</v>
      </c>
      <c r="AC26" s="25">
        <f>$F$26*$H$26*$I$26*(1-$J$26)*Rampa!T17</f>
        <v>138.7</v>
      </c>
      <c r="AD26" s="25">
        <f>$F$26*$H$26*$I$26*(1-$J$26)*Rampa!U17</f>
        <v>138.7</v>
      </c>
      <c r="AE26" s="25">
        <f>$F$26*$H$26*$I$26*(1-$J$26)*Rampa!V17</f>
        <v>138.7</v>
      </c>
      <c r="AF26" s="25">
        <f>$F$26*$H$26*$I$26*(1-$J$26)*Rampa!W17</f>
        <v>138.7</v>
      </c>
      <c r="AG26" s="25">
        <f>$F$26*$H$26*$I$26*(1-$J$26)*Rampa!X17</f>
        <v>138.7</v>
      </c>
      <c r="AH26" s="25">
        <f>$F$26*$H$26*$I$26*(1-$J$26)*Rampa!Y17</f>
        <v>138.7</v>
      </c>
      <c r="AI26" s="25">
        <f>$F$26*$H$26*$I$26*(1-$J$26)*Rampa!Z17</f>
        <v>138.7</v>
      </c>
      <c r="AJ26" s="25">
        <f>$F$26*$H$26*$I$26*(1-$J$26)*Rampa!AA17</f>
        <v>138.7</v>
      </c>
      <c r="AK26" s="25">
        <f>$F$26*$H$26*$I$26*(1-$J$26)*Rampa!AB17</f>
        <v>138.7</v>
      </c>
      <c r="AL26" s="25">
        <f>$F$26*$H$26*$I$26*(1-$J$26)*Rampa!AC17</f>
        <v>138.7</v>
      </c>
      <c r="AM26" s="25">
        <f>$F$26*$H$26*$I$26*(1-$J$26)*Rampa!AD17</f>
        <v>138.7</v>
      </c>
      <c r="AN26" s="25">
        <f>$F$26*$H$26*$I$26*(1-$J$26)*Rampa!AE17</f>
        <v>138.7</v>
      </c>
      <c r="AO26" s="25">
        <f>$F$26*$H$26*$I$26*(1-$J$26)*Rampa!AF17</f>
        <v>138.7</v>
      </c>
      <c r="AP26" s="25">
        <f>$F$26*$H$26*$I$26*(1-$J$26)*Rampa!AG17</f>
        <v>138.7</v>
      </c>
      <c r="AQ26" s="25">
        <f>$F$26*$H$26*$I$26*(1-$J$26)*Rampa!AH17</f>
        <v>138.7</v>
      </c>
      <c r="AR26" s="25">
        <f>$F$26*$H$26*$I$26*(1-$J$26)*Rampa!AI17</f>
        <v>138.7</v>
      </c>
      <c r="AS26" s="25">
        <f>$F$26*$H$26*$I$26*(1-$J$26)*Rampa!AJ17</f>
        <v>138.7</v>
      </c>
      <c r="AT26" s="26">
        <f>$F$26*$H$26*$I$26*(1-$J$26)*Rampa!AK17</f>
        <v>138.7</v>
      </c>
    </row>
    <row r="27" ht="12.0" customHeight="1">
      <c r="A27" s="1"/>
      <c r="B27" s="46"/>
      <c r="C27" s="18"/>
      <c r="D27" s="20" t="s">
        <v>85</v>
      </c>
      <c r="E27" s="21" t="s">
        <v>86</v>
      </c>
      <c r="F27" s="39">
        <v>128.0</v>
      </c>
      <c r="G27" s="27" t="s">
        <v>87</v>
      </c>
      <c r="H27" s="23">
        <v>0.0015</v>
      </c>
      <c r="I27" s="21">
        <v>730.0</v>
      </c>
      <c r="J27" s="24">
        <v>0.05</v>
      </c>
      <c r="K27" s="25">
        <f>$F$27*$H$27*$I$27*(1-$J$27)*Rampa!B17</f>
        <v>0</v>
      </c>
      <c r="L27" s="25">
        <f>$F$27*$H$27*$I$27*(1-$J$27)*Rampa!C17</f>
        <v>133.152</v>
      </c>
      <c r="M27" s="25">
        <f>$F$27*$H$27*$I$27*(1-$J$27)*Rampa!D17</f>
        <v>133.152</v>
      </c>
      <c r="N27" s="25">
        <f>$F$27*$H$27*$I$27*(1-$J$27)*Rampa!E17</f>
        <v>133.152</v>
      </c>
      <c r="O27" s="25">
        <f>$F$27*$H$27*$I$27*(1-$J$27)*Rampa!F17</f>
        <v>133.152</v>
      </c>
      <c r="P27" s="25">
        <f>$F$27*$H$27*$I$27*(1-$J$27)*Rampa!G17</f>
        <v>133.152</v>
      </c>
      <c r="Q27" s="25">
        <f>$F$27*$H$27*$I$27*(1-$J$27)*Rampa!H17</f>
        <v>133.152</v>
      </c>
      <c r="R27" s="25">
        <f>$F$27*$H$27*$I$27*(1-$J$27)*Rampa!I17</f>
        <v>133.152</v>
      </c>
      <c r="S27" s="25">
        <f>$F$27*$H$27*$I$27*(1-$J$27)*Rampa!J17</f>
        <v>133.152</v>
      </c>
      <c r="T27" s="25">
        <f>$F$27*$H$27*$I$27*(1-$J$27)*Rampa!K17</f>
        <v>133.152</v>
      </c>
      <c r="U27" s="25">
        <f>$F$27*$H$27*$I$27*(1-$J$27)*Rampa!L17</f>
        <v>133.152</v>
      </c>
      <c r="V27" s="25">
        <f>$F$27*$H$27*$I$27*(1-$J$27)*Rampa!M17</f>
        <v>133.152</v>
      </c>
      <c r="W27" s="25">
        <f>$F$27*$H$27*$I$27*(1-$J$27)*Rampa!N17</f>
        <v>133.152</v>
      </c>
      <c r="X27" s="25">
        <f>$F$27*$H$27*$I$27*(1-$J$27)*Rampa!O17</f>
        <v>133.152</v>
      </c>
      <c r="Y27" s="25">
        <f>$F$27*$H$27*$I$27*(1-$J$27)*Rampa!P17</f>
        <v>133.152</v>
      </c>
      <c r="Z27" s="25">
        <f>$F$27*$H$27*$I$27*(1-$J$27)*Rampa!Q17</f>
        <v>133.152</v>
      </c>
      <c r="AA27" s="25">
        <f>$F$27*$H$27*$I$27*(1-$J$27)*Rampa!R17</f>
        <v>133.152</v>
      </c>
      <c r="AB27" s="25">
        <f>$F$27*$H$27*$I$27*(1-$J$27)*Rampa!S17</f>
        <v>133.152</v>
      </c>
      <c r="AC27" s="25">
        <f>$F$27*$H$27*$I$27*(1-$J$27)*Rampa!T17</f>
        <v>133.152</v>
      </c>
      <c r="AD27" s="25">
        <f>$F$27*$H$27*$I$27*(1-$J$27)*Rampa!U17</f>
        <v>133.152</v>
      </c>
      <c r="AE27" s="25">
        <f>$F$27*$H$27*$I$27*(1-$J$27)*Rampa!V17</f>
        <v>133.152</v>
      </c>
      <c r="AF27" s="25">
        <f>$F$27*$H$27*$I$27*(1-$J$27)*Rampa!W17</f>
        <v>133.152</v>
      </c>
      <c r="AG27" s="25">
        <f>$F$27*$H$27*$I$27*(1-$J$27)*Rampa!X17</f>
        <v>133.152</v>
      </c>
      <c r="AH27" s="25">
        <f>$F$27*$H$27*$I$27*(1-$J$27)*Rampa!Y17</f>
        <v>133.152</v>
      </c>
      <c r="AI27" s="25">
        <f>$F$27*$H$27*$I$27*(1-$J$27)*Rampa!Z17</f>
        <v>133.152</v>
      </c>
      <c r="AJ27" s="25">
        <f>$F$27*$H$27*$I$27*(1-$J$27)*Rampa!AA17</f>
        <v>133.152</v>
      </c>
      <c r="AK27" s="25">
        <f>$F$27*$H$27*$I$27*(1-$J$27)*Rampa!AB17</f>
        <v>133.152</v>
      </c>
      <c r="AL27" s="25">
        <f>$F$27*$H$27*$I$27*(1-$J$27)*Rampa!AC17</f>
        <v>133.152</v>
      </c>
      <c r="AM27" s="25">
        <f>$F$27*$H$27*$I$27*(1-$J$27)*Rampa!AD17</f>
        <v>133.152</v>
      </c>
      <c r="AN27" s="25">
        <f>$F$27*$H$27*$I$27*(1-$J$27)*Rampa!AE17</f>
        <v>133.152</v>
      </c>
      <c r="AO27" s="25">
        <f>$F$27*$H$27*$I$27*(1-$J$27)*Rampa!AF17</f>
        <v>133.152</v>
      </c>
      <c r="AP27" s="25">
        <f>$F$27*$H$27*$I$27*(1-$J$27)*Rampa!AG17</f>
        <v>133.152</v>
      </c>
      <c r="AQ27" s="25">
        <f>$F$27*$H$27*$I$27*(1-$J$27)*Rampa!AH17</f>
        <v>133.152</v>
      </c>
      <c r="AR27" s="25">
        <f>$F$27*$H$27*$I$27*(1-$J$27)*Rampa!AI17</f>
        <v>133.152</v>
      </c>
      <c r="AS27" s="25">
        <f>$F$27*$H$27*$I$27*(1-$J$27)*Rampa!AJ17</f>
        <v>133.152</v>
      </c>
      <c r="AT27" s="26">
        <f>$F$27*$H$27*$I$27*(1-$J$27)*Rampa!AK17</f>
        <v>133.152</v>
      </c>
    </row>
    <row r="28" ht="12.0" customHeight="1">
      <c r="A28" s="1"/>
      <c r="B28" s="46"/>
      <c r="C28" s="18"/>
      <c r="D28" s="20" t="s">
        <v>50</v>
      </c>
      <c r="E28" s="21" t="s">
        <v>51</v>
      </c>
      <c r="F28" s="39">
        <v>413.0</v>
      </c>
      <c r="G28" s="27" t="s">
        <v>52</v>
      </c>
      <c r="H28" s="23">
        <v>0.0255</v>
      </c>
      <c r="I28" s="21">
        <v>1.0</v>
      </c>
      <c r="J28" s="24">
        <v>0.05</v>
      </c>
      <c r="K28" s="25">
        <f>$F$28*$H$28*$I$28*(1-$J$28)*Rampa!B17</f>
        <v>0</v>
      </c>
      <c r="L28" s="25">
        <f>$F$28*$H$28*$I$28*(1-$J$28)*Rampa!C17</f>
        <v>10.004925</v>
      </c>
      <c r="M28" s="25">
        <f>$F$28*$H$28*$I$28*(1-$J$28)*Rampa!D17</f>
        <v>10.004925</v>
      </c>
      <c r="N28" s="25">
        <f>$F$28*$H$28*$I$28*(1-$J$28)*Rampa!E17</f>
        <v>10.004925</v>
      </c>
      <c r="O28" s="25">
        <f>$F$28*$H$28*$I$28*(1-$J$28)*Rampa!F17</f>
        <v>10.004925</v>
      </c>
      <c r="P28" s="25">
        <f>$F$28*$H$28*$I$28*(1-$J$28)*Rampa!G17</f>
        <v>10.004925</v>
      </c>
      <c r="Q28" s="25">
        <f>$F$28*$H$28*$I$28*(1-$J$28)*Rampa!H17</f>
        <v>10.004925</v>
      </c>
      <c r="R28" s="25">
        <f>$F$28*$H$28*$I$28*(1-$J$28)*Rampa!I17</f>
        <v>10.004925</v>
      </c>
      <c r="S28" s="25">
        <f>$F$28*$H$28*$I$28*(1-$J$28)*Rampa!J17</f>
        <v>10.004925</v>
      </c>
      <c r="T28" s="25">
        <f>$F$28*$H$28*$I$28*(1-$J$28)*Rampa!K17</f>
        <v>10.004925</v>
      </c>
      <c r="U28" s="25">
        <f>$F$28*$H$28*$I$28*(1-$J$28)*Rampa!L17</f>
        <v>10.004925</v>
      </c>
      <c r="V28" s="25">
        <f>$F$28*$H$28*$I$28*(1-$J$28)*Rampa!M17</f>
        <v>10.004925</v>
      </c>
      <c r="W28" s="25">
        <f>$F$28*$H$28*$I$28*(1-$J$28)*Rampa!N17</f>
        <v>10.004925</v>
      </c>
      <c r="X28" s="25">
        <f>$F$28*$H$28*$I$28*(1-$J$28)*Rampa!O17</f>
        <v>10.004925</v>
      </c>
      <c r="Y28" s="25">
        <f>$F$28*$H$28*$I$28*(1-$J$28)*Rampa!P17</f>
        <v>10.004925</v>
      </c>
      <c r="Z28" s="25">
        <f>$F$28*$H$28*$I$28*(1-$J$28)*Rampa!Q17</f>
        <v>10.004925</v>
      </c>
      <c r="AA28" s="25">
        <f>$F$28*$H$28*$I$28*(1-$J$28)*Rampa!R17</f>
        <v>10.004925</v>
      </c>
      <c r="AB28" s="25">
        <f>$F$28*$H$28*$I$28*(1-$J$28)*Rampa!S17</f>
        <v>10.004925</v>
      </c>
      <c r="AC28" s="25">
        <f>$F$28*$H$28*$I$28*(1-$J$28)*Rampa!T17</f>
        <v>10.004925</v>
      </c>
      <c r="AD28" s="25">
        <f>$F$28*$H$28*$I$28*(1-$J$28)*Rampa!U17</f>
        <v>10.004925</v>
      </c>
      <c r="AE28" s="25">
        <f>$F$28*$H$28*$I$28*(1-$J$28)*Rampa!V17</f>
        <v>10.004925</v>
      </c>
      <c r="AF28" s="25">
        <f>$F$28*$H$28*$I$28*(1-$J$28)*Rampa!W17</f>
        <v>10.004925</v>
      </c>
      <c r="AG28" s="25">
        <f>$F$28*$H$28*$I$28*(1-$J$28)*Rampa!X17</f>
        <v>10.004925</v>
      </c>
      <c r="AH28" s="25">
        <f>$F$28*$H$28*$I$28*(1-$J$28)*Rampa!Y17</f>
        <v>10.004925</v>
      </c>
      <c r="AI28" s="25">
        <f>$F$28*$H$28*$I$28*(1-$J$28)*Rampa!Z17</f>
        <v>10.004925</v>
      </c>
      <c r="AJ28" s="25">
        <f>$F$28*$H$28*$I$28*(1-$J$28)*Rampa!AA17</f>
        <v>10.004925</v>
      </c>
      <c r="AK28" s="25">
        <f>$F$28*$H$28*$I$28*(1-$J$28)*Rampa!AB17</f>
        <v>10.004925</v>
      </c>
      <c r="AL28" s="25">
        <f>$F$28*$H$28*$I$28*(1-$J$28)*Rampa!AC17</f>
        <v>10.004925</v>
      </c>
      <c r="AM28" s="25">
        <f>$F$28*$H$28*$I$28*(1-$J$28)*Rampa!AD17</f>
        <v>10.004925</v>
      </c>
      <c r="AN28" s="25">
        <f>$F$28*$H$28*$I$28*(1-$J$28)*Rampa!AE17</f>
        <v>10.004925</v>
      </c>
      <c r="AO28" s="25">
        <f>$F$28*$H$28*$I$28*(1-$J$28)*Rampa!AF17</f>
        <v>10.004925</v>
      </c>
      <c r="AP28" s="25">
        <f>$F$28*$H$28*$I$28*(1-$J$28)*Rampa!AG17</f>
        <v>10.004925</v>
      </c>
      <c r="AQ28" s="25">
        <f>$F$28*$H$28*$I$28*(1-$J$28)*Rampa!AH17</f>
        <v>10.004925</v>
      </c>
      <c r="AR28" s="25">
        <f>$F$28*$H$28*$I$28*(1-$J$28)*Rampa!AI17</f>
        <v>10.004925</v>
      </c>
      <c r="AS28" s="25">
        <f>$F$28*$H$28*$I$28*(1-$J$28)*Rampa!AJ17</f>
        <v>10.004925</v>
      </c>
      <c r="AT28" s="26">
        <f>$F$28*$H$28*$I$28*(1-$J$28)*Rampa!AK17</f>
        <v>10.004925</v>
      </c>
    </row>
    <row r="29" ht="12.0" customHeight="1">
      <c r="A29" s="1"/>
      <c r="B29" s="46"/>
      <c r="C29" s="29"/>
      <c r="D29" s="31" t="s">
        <v>53</v>
      </c>
      <c r="E29" s="32" t="s">
        <v>54</v>
      </c>
      <c r="F29" s="47">
        <f>F28*120</f>
        <v>49560</v>
      </c>
      <c r="G29" s="41" t="s">
        <v>55</v>
      </c>
      <c r="H29" s="33">
        <v>0.0017</v>
      </c>
      <c r="I29" s="32">
        <v>1.0</v>
      </c>
      <c r="J29" s="34">
        <v>0.05</v>
      </c>
      <c r="K29" s="35">
        <f>$F$29*$H$29*$I$29*(1-$J$29)*Rampa!B17</f>
        <v>0</v>
      </c>
      <c r="L29" s="35">
        <f>$F$29*$H$29*$I$29*(1-$J$29)*Rampa!C17</f>
        <v>80.0394</v>
      </c>
      <c r="M29" s="35">
        <f>$F$29*$H$29*$I$29*(1-$J$29)*Rampa!D17</f>
        <v>80.0394</v>
      </c>
      <c r="N29" s="35">
        <f>$F$29*$H$29*$I$29*(1-$J$29)*Rampa!E17</f>
        <v>80.0394</v>
      </c>
      <c r="O29" s="35">
        <f>$F$29*$H$29*$I$29*(1-$J$29)*Rampa!F17</f>
        <v>80.0394</v>
      </c>
      <c r="P29" s="35">
        <f>$F$29*$H$29*$I$29*(1-$J$29)*Rampa!G17</f>
        <v>80.0394</v>
      </c>
      <c r="Q29" s="35">
        <f>$F$29*$H$29*$I$29*(1-$J$29)*Rampa!H17</f>
        <v>80.0394</v>
      </c>
      <c r="R29" s="35">
        <f>$F$29*$H$29*$I$29*(1-$J$29)*Rampa!I17</f>
        <v>80.0394</v>
      </c>
      <c r="S29" s="35">
        <f>$F$29*$H$29*$I$29*(1-$J$29)*Rampa!J17</f>
        <v>80.0394</v>
      </c>
      <c r="T29" s="35">
        <f>$F$29*$H$29*$I$29*(1-$J$29)*Rampa!K17</f>
        <v>80.0394</v>
      </c>
      <c r="U29" s="35">
        <f>$F$29*$H$29*$I$29*(1-$J$29)*Rampa!L17</f>
        <v>80.0394</v>
      </c>
      <c r="V29" s="35">
        <f>$F$29*$H$29*$I$29*(1-$J$29)*Rampa!M17</f>
        <v>80.0394</v>
      </c>
      <c r="W29" s="35">
        <f>$F$29*$H$29*$I$29*(1-$J$29)*Rampa!N17</f>
        <v>80.0394</v>
      </c>
      <c r="X29" s="35">
        <f>$F$29*$H$29*$I$29*(1-$J$29)*Rampa!O17</f>
        <v>80.0394</v>
      </c>
      <c r="Y29" s="35">
        <f>$F$29*$H$29*$I$29*(1-$J$29)*Rampa!P17</f>
        <v>80.0394</v>
      </c>
      <c r="Z29" s="35">
        <f>$F$29*$H$29*$I$29*(1-$J$29)*Rampa!Q17</f>
        <v>80.0394</v>
      </c>
      <c r="AA29" s="35">
        <f>$F$29*$H$29*$I$29*(1-$J$29)*Rampa!R17</f>
        <v>80.0394</v>
      </c>
      <c r="AB29" s="35">
        <f>$F$29*$H$29*$I$29*(1-$J$29)*Rampa!S17</f>
        <v>80.0394</v>
      </c>
      <c r="AC29" s="35">
        <f>$F$29*$H$29*$I$29*(1-$J$29)*Rampa!T17</f>
        <v>80.0394</v>
      </c>
      <c r="AD29" s="35">
        <f>$F$29*$H$29*$I$29*(1-$J$29)*Rampa!U17</f>
        <v>80.0394</v>
      </c>
      <c r="AE29" s="35">
        <f>$F$29*$H$29*$I$29*(1-$J$29)*Rampa!V17</f>
        <v>80.0394</v>
      </c>
      <c r="AF29" s="35">
        <f>$F$29*$H$29*$I$29*(1-$J$29)*Rampa!W17</f>
        <v>80.0394</v>
      </c>
      <c r="AG29" s="35">
        <f>$F$29*$H$29*$I$29*(1-$J$29)*Rampa!X17</f>
        <v>80.0394</v>
      </c>
      <c r="AH29" s="35">
        <f>$F$29*$H$29*$I$29*(1-$J$29)*Rampa!Y17</f>
        <v>80.0394</v>
      </c>
      <c r="AI29" s="35">
        <f>$F$29*$H$29*$I$29*(1-$J$29)*Rampa!Z17</f>
        <v>80.0394</v>
      </c>
      <c r="AJ29" s="35">
        <f>$F$29*$H$29*$I$29*(1-$J$29)*Rampa!AA17</f>
        <v>80.0394</v>
      </c>
      <c r="AK29" s="35">
        <f>$F$29*$H$29*$I$29*(1-$J$29)*Rampa!AB17</f>
        <v>80.0394</v>
      </c>
      <c r="AL29" s="35">
        <f>$F$29*$H$29*$I$29*(1-$J$29)*Rampa!AC17</f>
        <v>80.0394</v>
      </c>
      <c r="AM29" s="35">
        <f>$F$29*$H$29*$I$29*(1-$J$29)*Rampa!AD17</f>
        <v>80.0394</v>
      </c>
      <c r="AN29" s="35">
        <f>$F$29*$H$29*$I$29*(1-$J$29)*Rampa!AE17</f>
        <v>80.0394</v>
      </c>
      <c r="AO29" s="35">
        <f>$F$29*$H$29*$I$29*(1-$J$29)*Rampa!AF17</f>
        <v>80.0394</v>
      </c>
      <c r="AP29" s="35">
        <f>$F$29*$H$29*$I$29*(1-$J$29)*Rampa!AG17</f>
        <v>80.0394</v>
      </c>
      <c r="AQ29" s="35">
        <f>$F$29*$H$29*$I$29*(1-$J$29)*Rampa!AH17</f>
        <v>80.0394</v>
      </c>
      <c r="AR29" s="35">
        <f>$F$29*$H$29*$I$29*(1-$J$29)*Rampa!AI17</f>
        <v>80.0394</v>
      </c>
      <c r="AS29" s="35">
        <f>$F$29*$H$29*$I$29*(1-$J$29)*Rampa!AJ17</f>
        <v>80.0394</v>
      </c>
      <c r="AT29" s="36">
        <f>$F$29*$H$29*$I$29*(1-$J$29)*Rampa!AK17</f>
        <v>80.0394</v>
      </c>
    </row>
    <row r="30" ht="12.0" customHeight="1">
      <c r="A30" s="1"/>
      <c r="B30" s="46"/>
      <c r="C30" s="43" t="s">
        <v>89</v>
      </c>
      <c r="D30" s="11" t="s">
        <v>79</v>
      </c>
      <c r="E30" s="12" t="s">
        <v>80</v>
      </c>
      <c r="F30" s="44">
        <v>4.0</v>
      </c>
      <c r="G30" s="45" t="s">
        <v>49</v>
      </c>
      <c r="H30" s="14">
        <v>0.098</v>
      </c>
      <c r="I30" s="12">
        <v>730.0</v>
      </c>
      <c r="J30" s="15">
        <v>0.05</v>
      </c>
      <c r="K30" s="16">
        <f>$F$30*$H$30*$I$30*(1-$J$30)*Rampa!B18</f>
        <v>0</v>
      </c>
      <c r="L30" s="16">
        <f>$F$30*$H$30*$I$30*(1-$J$30)*Rampa!C18</f>
        <v>271.852</v>
      </c>
      <c r="M30" s="16">
        <f>$F$30*$H$30*$I$30*(1-$J$30)*Rampa!D18</f>
        <v>271.852</v>
      </c>
      <c r="N30" s="16">
        <f>$F$30*$H$30*$I$30*(1-$J$30)*Rampa!E18</f>
        <v>271.852</v>
      </c>
      <c r="O30" s="16">
        <f>$F$30*$H$30*$I$30*(1-$J$30)*Rampa!F18</f>
        <v>271.852</v>
      </c>
      <c r="P30" s="16">
        <f>$F$30*$H$30*$I$30*(1-$J$30)*Rampa!G18</f>
        <v>271.852</v>
      </c>
      <c r="Q30" s="16">
        <f>$F$30*$H$30*$I$30*(1-$J$30)*Rampa!H18</f>
        <v>271.852</v>
      </c>
      <c r="R30" s="16">
        <f>$F$30*$H$30*$I$30*(1-$J$30)*Rampa!I18</f>
        <v>271.852</v>
      </c>
      <c r="S30" s="16">
        <f>$F$30*$H$30*$I$30*(1-$J$30)*Rampa!J18</f>
        <v>271.852</v>
      </c>
      <c r="T30" s="16">
        <f>$F$30*$H$30*$I$30*(1-$J$30)*Rampa!K18</f>
        <v>271.852</v>
      </c>
      <c r="U30" s="16">
        <f>$F$30*$H$30*$I$30*(1-$J$30)*Rampa!L18</f>
        <v>271.852</v>
      </c>
      <c r="V30" s="16">
        <f>$F$30*$H$30*$I$30*(1-$J$30)*Rampa!M18</f>
        <v>271.852</v>
      </c>
      <c r="W30" s="16">
        <f>$F$30*$H$30*$I$30*(1-$J$30)*Rampa!N18</f>
        <v>271.852</v>
      </c>
      <c r="X30" s="16">
        <f>$F$30*$H$30*$I$30*(1-$J$30)*Rampa!O18</f>
        <v>271.852</v>
      </c>
      <c r="Y30" s="16">
        <f>$F$30*$H$30*$I$30*(1-$J$30)*Rampa!P18</f>
        <v>271.852</v>
      </c>
      <c r="Z30" s="16">
        <f>$F$30*$H$30*$I$30*(1-$J$30)*Rampa!Q18</f>
        <v>271.852</v>
      </c>
      <c r="AA30" s="16">
        <f>$F$30*$H$30*$I$30*(1-$J$30)*Rampa!R18</f>
        <v>271.852</v>
      </c>
      <c r="AB30" s="16">
        <f>$F$30*$H$30*$I$30*(1-$J$30)*Rampa!S18</f>
        <v>271.852</v>
      </c>
      <c r="AC30" s="16">
        <f>$F$30*$H$30*$I$30*(1-$J$30)*Rampa!T18</f>
        <v>271.852</v>
      </c>
      <c r="AD30" s="16">
        <f>$F$30*$H$30*$I$30*(1-$J$30)*Rampa!U18</f>
        <v>271.852</v>
      </c>
      <c r="AE30" s="16">
        <f>$F$30*$H$30*$I$30*(1-$J$30)*Rampa!V18</f>
        <v>271.852</v>
      </c>
      <c r="AF30" s="16">
        <f>$F$30*$H$30*$I$30*(1-$J$30)*Rampa!W18</f>
        <v>271.852</v>
      </c>
      <c r="AG30" s="16">
        <f>$F$30*$H$30*$I$30*(1-$J$30)*Rampa!X18</f>
        <v>271.852</v>
      </c>
      <c r="AH30" s="16">
        <f>$F$30*$H$30*$I$30*(1-$J$30)*Rampa!Y18</f>
        <v>271.852</v>
      </c>
      <c r="AI30" s="16">
        <f>$F$30*$H$30*$I$30*(1-$J$30)*Rampa!Z18</f>
        <v>271.852</v>
      </c>
      <c r="AJ30" s="16">
        <f>$F$30*$H$30*$I$30*(1-$J$30)*Rampa!AA18</f>
        <v>271.852</v>
      </c>
      <c r="AK30" s="16">
        <f>$F$30*$H$30*$I$30*(1-$J$30)*Rampa!AB18</f>
        <v>271.852</v>
      </c>
      <c r="AL30" s="16">
        <f>$F$30*$H$30*$I$30*(1-$J$30)*Rampa!AC18</f>
        <v>271.852</v>
      </c>
      <c r="AM30" s="16">
        <f>$F$30*$H$30*$I$30*(1-$J$30)*Rampa!AD18</f>
        <v>271.852</v>
      </c>
      <c r="AN30" s="16">
        <f>$F$30*$H$30*$I$30*(1-$J$30)*Rampa!AE18</f>
        <v>271.852</v>
      </c>
      <c r="AO30" s="16">
        <f>$F$30*$H$30*$I$30*(1-$J$30)*Rampa!AF18</f>
        <v>271.852</v>
      </c>
      <c r="AP30" s="16">
        <f>$F$30*$H$30*$I$30*(1-$J$30)*Rampa!AG18</f>
        <v>271.852</v>
      </c>
      <c r="AQ30" s="16">
        <f>$F$30*$H$30*$I$30*(1-$J$30)*Rampa!AH18</f>
        <v>271.852</v>
      </c>
      <c r="AR30" s="16">
        <f>$F$30*$H$30*$I$30*(1-$J$30)*Rampa!AI18</f>
        <v>271.852</v>
      </c>
      <c r="AS30" s="16">
        <f>$F$30*$H$30*$I$30*(1-$J$30)*Rampa!AJ18</f>
        <v>271.852</v>
      </c>
      <c r="AT30" s="17">
        <f>$F$30*$H$30*$I$30*(1-$J$30)*Rampa!AK18</f>
        <v>271.852</v>
      </c>
    </row>
    <row r="31" ht="12.0" customHeight="1">
      <c r="A31" s="1"/>
      <c r="B31" s="46"/>
      <c r="C31" s="18"/>
      <c r="D31" s="20" t="s">
        <v>81</v>
      </c>
      <c r="E31" s="21" t="s">
        <v>82</v>
      </c>
      <c r="F31" s="39">
        <v>100.0</v>
      </c>
      <c r="G31" s="27" t="s">
        <v>52</v>
      </c>
      <c r="H31" s="23">
        <v>0.072</v>
      </c>
      <c r="I31" s="21">
        <v>1.0</v>
      </c>
      <c r="J31" s="24">
        <v>0.05</v>
      </c>
      <c r="K31" s="25">
        <f>$F$31*$H$31*$I$31*(1-$J$31)*Rampa!B18</f>
        <v>0</v>
      </c>
      <c r="L31" s="25">
        <f>$F$31*$H$31*$I$31*(1-$J$31)*Rampa!C18</f>
        <v>6.84</v>
      </c>
      <c r="M31" s="25">
        <f>$F$31*$H$31*$I$31*(1-$J$31)*Rampa!D18</f>
        <v>6.84</v>
      </c>
      <c r="N31" s="25">
        <f>$F$31*$H$31*$I$31*(1-$J$31)*Rampa!E18</f>
        <v>6.84</v>
      </c>
      <c r="O31" s="25">
        <f>$F$31*$H$31*$I$31*(1-$J$31)*Rampa!F18</f>
        <v>6.84</v>
      </c>
      <c r="P31" s="25">
        <f>$F$31*$H$31*$I$31*(1-$J$31)*Rampa!G18</f>
        <v>6.84</v>
      </c>
      <c r="Q31" s="25">
        <f>$F$31*$H$31*$I$31*(1-$J$31)*Rampa!H18</f>
        <v>6.84</v>
      </c>
      <c r="R31" s="25">
        <f>$F$31*$H$31*$I$31*(1-$J$31)*Rampa!I18</f>
        <v>6.84</v>
      </c>
      <c r="S31" s="25">
        <f>$F$31*$H$31*$I$31*(1-$J$31)*Rampa!J18</f>
        <v>6.84</v>
      </c>
      <c r="T31" s="25">
        <f>$F$31*$H$31*$I$31*(1-$J$31)*Rampa!K18</f>
        <v>6.84</v>
      </c>
      <c r="U31" s="25">
        <f>$F$31*$H$31*$I$31*(1-$J$31)*Rampa!L18</f>
        <v>6.84</v>
      </c>
      <c r="V31" s="25">
        <f>$F$31*$H$31*$I$31*(1-$J$31)*Rampa!M18</f>
        <v>6.84</v>
      </c>
      <c r="W31" s="25">
        <f>$F$31*$H$31*$I$31*(1-$J$31)*Rampa!N18</f>
        <v>6.84</v>
      </c>
      <c r="X31" s="25">
        <f>$F$31*$H$31*$I$31*(1-$J$31)*Rampa!O18</f>
        <v>6.84</v>
      </c>
      <c r="Y31" s="25">
        <f>$F$31*$H$31*$I$31*(1-$J$31)*Rampa!P18</f>
        <v>6.84</v>
      </c>
      <c r="Z31" s="25">
        <f>$F$31*$H$31*$I$31*(1-$J$31)*Rampa!Q18</f>
        <v>6.84</v>
      </c>
      <c r="AA31" s="25">
        <f>$F$31*$H$31*$I$31*(1-$J$31)*Rampa!R18</f>
        <v>6.84</v>
      </c>
      <c r="AB31" s="25">
        <f>$F$31*$H$31*$I$31*(1-$J$31)*Rampa!S18</f>
        <v>6.84</v>
      </c>
      <c r="AC31" s="25">
        <f>$F$31*$H$31*$I$31*(1-$J$31)*Rampa!T18</f>
        <v>6.84</v>
      </c>
      <c r="AD31" s="25">
        <f>$F$31*$H$31*$I$31*(1-$J$31)*Rampa!U18</f>
        <v>6.84</v>
      </c>
      <c r="AE31" s="25">
        <f>$F$31*$H$31*$I$31*(1-$J$31)*Rampa!V18</f>
        <v>6.84</v>
      </c>
      <c r="AF31" s="25">
        <f>$F$31*$H$31*$I$31*(1-$J$31)*Rampa!W18</f>
        <v>6.84</v>
      </c>
      <c r="AG31" s="25">
        <f>$F$31*$H$31*$I$31*(1-$J$31)*Rampa!X18</f>
        <v>6.84</v>
      </c>
      <c r="AH31" s="25">
        <f>$F$31*$H$31*$I$31*(1-$J$31)*Rampa!Y18</f>
        <v>6.84</v>
      </c>
      <c r="AI31" s="25">
        <f>$F$31*$H$31*$I$31*(1-$J$31)*Rampa!Z18</f>
        <v>6.84</v>
      </c>
      <c r="AJ31" s="25">
        <f>$F$31*$H$31*$I$31*(1-$J$31)*Rampa!AA18</f>
        <v>6.84</v>
      </c>
      <c r="AK31" s="25">
        <f>$F$31*$H$31*$I$31*(1-$J$31)*Rampa!AB18</f>
        <v>6.84</v>
      </c>
      <c r="AL31" s="25">
        <f>$F$31*$H$31*$I$31*(1-$J$31)*Rampa!AC18</f>
        <v>6.84</v>
      </c>
      <c r="AM31" s="25">
        <f>$F$31*$H$31*$I$31*(1-$J$31)*Rampa!AD18</f>
        <v>6.84</v>
      </c>
      <c r="AN31" s="25">
        <f>$F$31*$H$31*$I$31*(1-$J$31)*Rampa!AE18</f>
        <v>6.84</v>
      </c>
      <c r="AO31" s="25">
        <f>$F$31*$H$31*$I$31*(1-$J$31)*Rampa!AF18</f>
        <v>6.84</v>
      </c>
      <c r="AP31" s="25">
        <f>$F$31*$H$31*$I$31*(1-$J$31)*Rampa!AG18</f>
        <v>6.84</v>
      </c>
      <c r="AQ31" s="25">
        <f>$F$31*$H$31*$I$31*(1-$J$31)*Rampa!AH18</f>
        <v>6.84</v>
      </c>
      <c r="AR31" s="25">
        <f>$F$31*$H$31*$I$31*(1-$J$31)*Rampa!AI18</f>
        <v>6.84</v>
      </c>
      <c r="AS31" s="25">
        <f>$F$31*$H$31*$I$31*(1-$J$31)*Rampa!AJ18</f>
        <v>6.84</v>
      </c>
      <c r="AT31" s="26">
        <f>$F$31*$H$31*$I$31*(1-$J$31)*Rampa!AK18</f>
        <v>6.84</v>
      </c>
    </row>
    <row r="32" ht="12.0" customHeight="1">
      <c r="A32" s="1"/>
      <c r="B32" s="46"/>
      <c r="C32" s="18"/>
      <c r="D32" s="20" t="s">
        <v>83</v>
      </c>
      <c r="E32" s="21" t="s">
        <v>84</v>
      </c>
      <c r="F32" s="39">
        <v>4.0</v>
      </c>
      <c r="G32" s="27" t="s">
        <v>49</v>
      </c>
      <c r="H32" s="23">
        <v>0.025</v>
      </c>
      <c r="I32" s="21">
        <v>730.0</v>
      </c>
      <c r="J32" s="24">
        <v>0.05</v>
      </c>
      <c r="K32" s="25">
        <f>$F$32*$H$32*$I$32*(1-$J$32)*Rampa!B18</f>
        <v>0</v>
      </c>
      <c r="L32" s="25">
        <f>$F$32*$H$32*$I$32*(1-$J$32)*Rampa!C18</f>
        <v>69.35</v>
      </c>
      <c r="M32" s="25">
        <f>$F$32*$H$32*$I$32*(1-$J$32)*Rampa!D18</f>
        <v>69.35</v>
      </c>
      <c r="N32" s="25">
        <f>$F$32*$H$32*$I$32*(1-$J$32)*Rampa!E18</f>
        <v>69.35</v>
      </c>
      <c r="O32" s="25">
        <f>$F$32*$H$32*$I$32*(1-$J$32)*Rampa!F18</f>
        <v>69.35</v>
      </c>
      <c r="P32" s="25">
        <f>$F$32*$H$32*$I$32*(1-$J$32)*Rampa!G18</f>
        <v>69.35</v>
      </c>
      <c r="Q32" s="25">
        <f>$F$32*$H$32*$I$32*(1-$J$32)*Rampa!H18</f>
        <v>69.35</v>
      </c>
      <c r="R32" s="25">
        <f>$F$32*$H$32*$I$32*(1-$J$32)*Rampa!I18</f>
        <v>69.35</v>
      </c>
      <c r="S32" s="25">
        <f>$F$32*$H$32*$I$32*(1-$J$32)*Rampa!J18</f>
        <v>69.35</v>
      </c>
      <c r="T32" s="25">
        <f>$F$32*$H$32*$I$32*(1-$J$32)*Rampa!K18</f>
        <v>69.35</v>
      </c>
      <c r="U32" s="25">
        <f>$F$32*$H$32*$I$32*(1-$J$32)*Rampa!L18</f>
        <v>69.35</v>
      </c>
      <c r="V32" s="25">
        <f>$F$32*$H$32*$I$32*(1-$J$32)*Rampa!M18</f>
        <v>69.35</v>
      </c>
      <c r="W32" s="25">
        <f>$F$32*$H$32*$I$32*(1-$J$32)*Rampa!N18</f>
        <v>69.35</v>
      </c>
      <c r="X32" s="25">
        <f>$F$32*$H$32*$I$32*(1-$J$32)*Rampa!O18</f>
        <v>69.35</v>
      </c>
      <c r="Y32" s="25">
        <f>$F$32*$H$32*$I$32*(1-$J$32)*Rampa!P18</f>
        <v>69.35</v>
      </c>
      <c r="Z32" s="25">
        <f>$F$32*$H$32*$I$32*(1-$J$32)*Rampa!Q18</f>
        <v>69.35</v>
      </c>
      <c r="AA32" s="25">
        <f>$F$32*$H$32*$I$32*(1-$J$32)*Rampa!R18</f>
        <v>69.35</v>
      </c>
      <c r="AB32" s="25">
        <f>$F$32*$H$32*$I$32*(1-$J$32)*Rampa!S18</f>
        <v>69.35</v>
      </c>
      <c r="AC32" s="25">
        <f>$F$32*$H$32*$I$32*(1-$J$32)*Rampa!T18</f>
        <v>69.35</v>
      </c>
      <c r="AD32" s="25">
        <f>$F$32*$H$32*$I$32*(1-$J$32)*Rampa!U18</f>
        <v>69.35</v>
      </c>
      <c r="AE32" s="25">
        <f>$F$32*$H$32*$I$32*(1-$J$32)*Rampa!V18</f>
        <v>69.35</v>
      </c>
      <c r="AF32" s="25">
        <f>$F$32*$H$32*$I$32*(1-$J$32)*Rampa!W18</f>
        <v>69.35</v>
      </c>
      <c r="AG32" s="25">
        <f>$F$32*$H$32*$I$32*(1-$J$32)*Rampa!X18</f>
        <v>69.35</v>
      </c>
      <c r="AH32" s="25">
        <f>$F$32*$H$32*$I$32*(1-$J$32)*Rampa!Y18</f>
        <v>69.35</v>
      </c>
      <c r="AI32" s="25">
        <f>$F$32*$H$32*$I$32*(1-$J$32)*Rampa!Z18</f>
        <v>69.35</v>
      </c>
      <c r="AJ32" s="25">
        <f>$F$32*$H$32*$I$32*(1-$J$32)*Rampa!AA18</f>
        <v>69.35</v>
      </c>
      <c r="AK32" s="25">
        <f>$F$32*$H$32*$I$32*(1-$J$32)*Rampa!AB18</f>
        <v>69.35</v>
      </c>
      <c r="AL32" s="25">
        <f>$F$32*$H$32*$I$32*(1-$J$32)*Rampa!AC18</f>
        <v>69.35</v>
      </c>
      <c r="AM32" s="25">
        <f>$F$32*$H$32*$I$32*(1-$J$32)*Rampa!AD18</f>
        <v>69.35</v>
      </c>
      <c r="AN32" s="25">
        <f>$F$32*$H$32*$I$32*(1-$J$32)*Rampa!AE18</f>
        <v>69.35</v>
      </c>
      <c r="AO32" s="25">
        <f>$F$32*$H$32*$I$32*(1-$J$32)*Rampa!AF18</f>
        <v>69.35</v>
      </c>
      <c r="AP32" s="25">
        <f>$F$32*$H$32*$I$32*(1-$J$32)*Rampa!AG18</f>
        <v>69.35</v>
      </c>
      <c r="AQ32" s="25">
        <f>$F$32*$H$32*$I$32*(1-$J$32)*Rampa!AH18</f>
        <v>69.35</v>
      </c>
      <c r="AR32" s="25">
        <f>$F$32*$H$32*$I$32*(1-$J$32)*Rampa!AI18</f>
        <v>69.35</v>
      </c>
      <c r="AS32" s="25">
        <f>$F$32*$H$32*$I$32*(1-$J$32)*Rampa!AJ18</f>
        <v>69.35</v>
      </c>
      <c r="AT32" s="26">
        <f>$F$32*$H$32*$I$32*(1-$J$32)*Rampa!AK18</f>
        <v>69.35</v>
      </c>
    </row>
    <row r="33" ht="12.0" customHeight="1">
      <c r="A33" s="1"/>
      <c r="B33" s="46"/>
      <c r="C33" s="18"/>
      <c r="D33" s="20" t="s">
        <v>85</v>
      </c>
      <c r="E33" s="21" t="s">
        <v>86</v>
      </c>
      <c r="F33" s="39">
        <v>64.0</v>
      </c>
      <c r="G33" s="27" t="s">
        <v>87</v>
      </c>
      <c r="H33" s="23">
        <v>0.0015</v>
      </c>
      <c r="I33" s="21">
        <v>730.0</v>
      </c>
      <c r="J33" s="24">
        <v>0.05</v>
      </c>
      <c r="K33" s="25">
        <f>$F$33*$H$33*$I$33*(1-$J$33)*Rampa!B18</f>
        <v>0</v>
      </c>
      <c r="L33" s="25">
        <f>$F$33*$H$33*$I$33*(1-$J$33)*Rampa!C18</f>
        <v>66.576</v>
      </c>
      <c r="M33" s="25">
        <f>$F$33*$H$33*$I$33*(1-$J$33)*Rampa!D18</f>
        <v>66.576</v>
      </c>
      <c r="N33" s="25">
        <f>$F$33*$H$33*$I$33*(1-$J$33)*Rampa!E18</f>
        <v>66.576</v>
      </c>
      <c r="O33" s="25">
        <f>$F$33*$H$33*$I$33*(1-$J$33)*Rampa!F18</f>
        <v>66.576</v>
      </c>
      <c r="P33" s="25">
        <f>$F$33*$H$33*$I$33*(1-$J$33)*Rampa!G18</f>
        <v>66.576</v>
      </c>
      <c r="Q33" s="25">
        <f>$F$33*$H$33*$I$33*(1-$J$33)*Rampa!H18</f>
        <v>66.576</v>
      </c>
      <c r="R33" s="25">
        <f>$F$33*$H$33*$I$33*(1-$J$33)*Rampa!I18</f>
        <v>66.576</v>
      </c>
      <c r="S33" s="25">
        <f>$F$33*$H$33*$I$33*(1-$J$33)*Rampa!J18</f>
        <v>66.576</v>
      </c>
      <c r="T33" s="25">
        <f>$F$33*$H$33*$I$33*(1-$J$33)*Rampa!K18</f>
        <v>66.576</v>
      </c>
      <c r="U33" s="25">
        <f>$F$33*$H$33*$I$33*(1-$J$33)*Rampa!L18</f>
        <v>66.576</v>
      </c>
      <c r="V33" s="25">
        <f>$F$33*$H$33*$I$33*(1-$J$33)*Rampa!M18</f>
        <v>66.576</v>
      </c>
      <c r="W33" s="25">
        <f>$F$33*$H$33*$I$33*(1-$J$33)*Rampa!N18</f>
        <v>66.576</v>
      </c>
      <c r="X33" s="25">
        <f>$F$33*$H$33*$I$33*(1-$J$33)*Rampa!O18</f>
        <v>66.576</v>
      </c>
      <c r="Y33" s="25">
        <f>$F$33*$H$33*$I$33*(1-$J$33)*Rampa!P18</f>
        <v>66.576</v>
      </c>
      <c r="Z33" s="25">
        <f>$F$33*$H$33*$I$33*(1-$J$33)*Rampa!Q18</f>
        <v>66.576</v>
      </c>
      <c r="AA33" s="25">
        <f>$F$33*$H$33*$I$33*(1-$J$33)*Rampa!R18</f>
        <v>66.576</v>
      </c>
      <c r="AB33" s="25">
        <f>$F$33*$H$33*$I$33*(1-$J$33)*Rampa!S18</f>
        <v>66.576</v>
      </c>
      <c r="AC33" s="25">
        <f>$F$33*$H$33*$I$33*(1-$J$33)*Rampa!T18</f>
        <v>66.576</v>
      </c>
      <c r="AD33" s="25">
        <f>$F$33*$H$33*$I$33*(1-$J$33)*Rampa!U18</f>
        <v>66.576</v>
      </c>
      <c r="AE33" s="25">
        <f>$F$33*$H$33*$I$33*(1-$J$33)*Rampa!V18</f>
        <v>66.576</v>
      </c>
      <c r="AF33" s="25">
        <f>$F$33*$H$33*$I$33*(1-$J$33)*Rampa!W18</f>
        <v>66.576</v>
      </c>
      <c r="AG33" s="25">
        <f>$F$33*$H$33*$I$33*(1-$J$33)*Rampa!X18</f>
        <v>66.576</v>
      </c>
      <c r="AH33" s="25">
        <f>$F$33*$H$33*$I$33*(1-$J$33)*Rampa!Y18</f>
        <v>66.576</v>
      </c>
      <c r="AI33" s="25">
        <f>$F$33*$H$33*$I$33*(1-$J$33)*Rampa!Z18</f>
        <v>66.576</v>
      </c>
      <c r="AJ33" s="25">
        <f>$F$33*$H$33*$I$33*(1-$J$33)*Rampa!AA18</f>
        <v>66.576</v>
      </c>
      <c r="AK33" s="25">
        <f>$F$33*$H$33*$I$33*(1-$J$33)*Rampa!AB18</f>
        <v>66.576</v>
      </c>
      <c r="AL33" s="25">
        <f>$F$33*$H$33*$I$33*(1-$J$33)*Rampa!AC18</f>
        <v>66.576</v>
      </c>
      <c r="AM33" s="25">
        <f>$F$33*$H$33*$I$33*(1-$J$33)*Rampa!AD18</f>
        <v>66.576</v>
      </c>
      <c r="AN33" s="25">
        <f>$F$33*$H$33*$I$33*(1-$J$33)*Rampa!AE18</f>
        <v>66.576</v>
      </c>
      <c r="AO33" s="25">
        <f>$F$33*$H$33*$I$33*(1-$J$33)*Rampa!AF18</f>
        <v>66.576</v>
      </c>
      <c r="AP33" s="25">
        <f>$F$33*$H$33*$I$33*(1-$J$33)*Rampa!AG18</f>
        <v>66.576</v>
      </c>
      <c r="AQ33" s="25">
        <f>$F$33*$H$33*$I$33*(1-$J$33)*Rampa!AH18</f>
        <v>66.576</v>
      </c>
      <c r="AR33" s="25">
        <f>$F$33*$H$33*$I$33*(1-$J$33)*Rampa!AI18</f>
        <v>66.576</v>
      </c>
      <c r="AS33" s="25">
        <f>$F$33*$H$33*$I$33*(1-$J$33)*Rampa!AJ18</f>
        <v>66.576</v>
      </c>
      <c r="AT33" s="26">
        <f>$F$33*$H$33*$I$33*(1-$J$33)*Rampa!AK18</f>
        <v>66.576</v>
      </c>
    </row>
    <row r="34" ht="12.0" customHeight="1">
      <c r="A34" s="1"/>
      <c r="B34" s="46"/>
      <c r="C34" s="18"/>
      <c r="D34" s="20" t="s">
        <v>50</v>
      </c>
      <c r="E34" s="21" t="s">
        <v>51</v>
      </c>
      <c r="F34" s="39">
        <v>100.0</v>
      </c>
      <c r="G34" s="27" t="s">
        <v>52</v>
      </c>
      <c r="H34" s="23">
        <v>0.0255</v>
      </c>
      <c r="I34" s="21">
        <v>1.0</v>
      </c>
      <c r="J34" s="24">
        <v>0.05</v>
      </c>
      <c r="K34" s="25">
        <f>$F$34*$H$34*$I$34*(1-$J$34)*Rampa!B18</f>
        <v>0</v>
      </c>
      <c r="L34" s="25">
        <f>$F$34*$H$34*$I$34*(1-$J$34)*Rampa!C18</f>
        <v>2.4225</v>
      </c>
      <c r="M34" s="25">
        <f>$F$34*$H$34*$I$34*(1-$J$34)*Rampa!D18</f>
        <v>2.4225</v>
      </c>
      <c r="N34" s="25">
        <f>$F$34*$H$34*$I$34*(1-$J$34)*Rampa!E18</f>
        <v>2.4225</v>
      </c>
      <c r="O34" s="25">
        <f>$F$34*$H$34*$I$34*(1-$J$34)*Rampa!F18</f>
        <v>2.4225</v>
      </c>
      <c r="P34" s="25">
        <f>$F$34*$H$34*$I$34*(1-$J$34)*Rampa!G18</f>
        <v>2.4225</v>
      </c>
      <c r="Q34" s="25">
        <f>$F$34*$H$34*$I$34*(1-$J$34)*Rampa!H18</f>
        <v>2.4225</v>
      </c>
      <c r="R34" s="25">
        <f>$F$34*$H$34*$I$34*(1-$J$34)*Rampa!I18</f>
        <v>2.4225</v>
      </c>
      <c r="S34" s="25">
        <f>$F$34*$H$34*$I$34*(1-$J$34)*Rampa!J18</f>
        <v>2.4225</v>
      </c>
      <c r="T34" s="25">
        <f>$F$34*$H$34*$I$34*(1-$J$34)*Rampa!K18</f>
        <v>2.4225</v>
      </c>
      <c r="U34" s="25">
        <f>$F$34*$H$34*$I$34*(1-$J$34)*Rampa!L18</f>
        <v>2.4225</v>
      </c>
      <c r="V34" s="25">
        <f>$F$34*$H$34*$I$34*(1-$J$34)*Rampa!M18</f>
        <v>2.4225</v>
      </c>
      <c r="W34" s="25">
        <f>$F$34*$H$34*$I$34*(1-$J$34)*Rampa!N18</f>
        <v>2.4225</v>
      </c>
      <c r="X34" s="25">
        <f>$F$34*$H$34*$I$34*(1-$J$34)*Rampa!O18</f>
        <v>2.4225</v>
      </c>
      <c r="Y34" s="25">
        <f>$F$34*$H$34*$I$34*(1-$J$34)*Rampa!P18</f>
        <v>2.4225</v>
      </c>
      <c r="Z34" s="25">
        <f>$F$34*$H$34*$I$34*(1-$J$34)*Rampa!Q18</f>
        <v>2.4225</v>
      </c>
      <c r="AA34" s="25">
        <f>$F$34*$H$34*$I$34*(1-$J$34)*Rampa!R18</f>
        <v>2.4225</v>
      </c>
      <c r="AB34" s="25">
        <f>$F$34*$H$34*$I$34*(1-$J$34)*Rampa!S18</f>
        <v>2.4225</v>
      </c>
      <c r="AC34" s="25">
        <f>$F$34*$H$34*$I$34*(1-$J$34)*Rampa!T18</f>
        <v>2.4225</v>
      </c>
      <c r="AD34" s="25">
        <f>$F$34*$H$34*$I$34*(1-$J$34)*Rampa!U18</f>
        <v>2.4225</v>
      </c>
      <c r="AE34" s="25">
        <f>$F$34*$H$34*$I$34*(1-$J$34)*Rampa!V18</f>
        <v>2.4225</v>
      </c>
      <c r="AF34" s="25">
        <f>$F$34*$H$34*$I$34*(1-$J$34)*Rampa!W18</f>
        <v>2.4225</v>
      </c>
      <c r="AG34" s="25">
        <f>$F$34*$H$34*$I$34*(1-$J$34)*Rampa!X18</f>
        <v>2.4225</v>
      </c>
      <c r="AH34" s="25">
        <f>$F$34*$H$34*$I$34*(1-$J$34)*Rampa!Y18</f>
        <v>2.4225</v>
      </c>
      <c r="AI34" s="25">
        <f>$F$34*$H$34*$I$34*(1-$J$34)*Rampa!Z18</f>
        <v>2.4225</v>
      </c>
      <c r="AJ34" s="25">
        <f>$F$34*$H$34*$I$34*(1-$J$34)*Rampa!AA18</f>
        <v>2.4225</v>
      </c>
      <c r="AK34" s="25">
        <f>$F$34*$H$34*$I$34*(1-$J$34)*Rampa!AB18</f>
        <v>2.4225</v>
      </c>
      <c r="AL34" s="25">
        <f>$F$34*$H$34*$I$34*(1-$J$34)*Rampa!AC18</f>
        <v>2.4225</v>
      </c>
      <c r="AM34" s="25">
        <f>$F$34*$H$34*$I$34*(1-$J$34)*Rampa!AD18</f>
        <v>2.4225</v>
      </c>
      <c r="AN34" s="25">
        <f>$F$34*$H$34*$I$34*(1-$J$34)*Rampa!AE18</f>
        <v>2.4225</v>
      </c>
      <c r="AO34" s="25">
        <f>$F$34*$H$34*$I$34*(1-$J$34)*Rampa!AF18</f>
        <v>2.4225</v>
      </c>
      <c r="AP34" s="25">
        <f>$F$34*$H$34*$I$34*(1-$J$34)*Rampa!AG18</f>
        <v>2.4225</v>
      </c>
      <c r="AQ34" s="25">
        <f>$F$34*$H$34*$I$34*(1-$J$34)*Rampa!AH18</f>
        <v>2.4225</v>
      </c>
      <c r="AR34" s="25">
        <f>$F$34*$H$34*$I$34*(1-$J$34)*Rampa!AI18</f>
        <v>2.4225</v>
      </c>
      <c r="AS34" s="25">
        <f>$F$34*$H$34*$I$34*(1-$J$34)*Rampa!AJ18</f>
        <v>2.4225</v>
      </c>
      <c r="AT34" s="26">
        <f>$F$34*$H$34*$I$34*(1-$J$34)*Rampa!AK18</f>
        <v>2.4225</v>
      </c>
    </row>
    <row r="35" ht="12.0" customHeight="1">
      <c r="A35" s="1"/>
      <c r="B35" s="46"/>
      <c r="C35" s="29"/>
      <c r="D35" s="31" t="s">
        <v>53</v>
      </c>
      <c r="E35" s="32" t="s">
        <v>54</v>
      </c>
      <c r="F35" s="47">
        <f>F34*120</f>
        <v>12000</v>
      </c>
      <c r="G35" s="41" t="s">
        <v>55</v>
      </c>
      <c r="H35" s="33">
        <v>0.0017</v>
      </c>
      <c r="I35" s="32">
        <v>1.0</v>
      </c>
      <c r="J35" s="34">
        <v>0.05</v>
      </c>
      <c r="K35" s="35">
        <f>$F$35*$H$35*$I$35*(1-$J$35)*Rampa!B18</f>
        <v>0</v>
      </c>
      <c r="L35" s="35">
        <f>$F$35*$H$35*$I$35*(1-$J$35)*Rampa!C18</f>
        <v>19.38</v>
      </c>
      <c r="M35" s="35">
        <f>$F$35*$H$35*$I$35*(1-$J$35)*Rampa!D18</f>
        <v>19.38</v>
      </c>
      <c r="N35" s="35">
        <f>$F$35*$H$35*$I$35*(1-$J$35)*Rampa!E18</f>
        <v>19.38</v>
      </c>
      <c r="O35" s="35">
        <f>$F$35*$H$35*$I$35*(1-$J$35)*Rampa!F18</f>
        <v>19.38</v>
      </c>
      <c r="P35" s="35">
        <f>$F$35*$H$35*$I$35*(1-$J$35)*Rampa!G18</f>
        <v>19.38</v>
      </c>
      <c r="Q35" s="35">
        <f>$F$35*$H$35*$I$35*(1-$J$35)*Rampa!H18</f>
        <v>19.38</v>
      </c>
      <c r="R35" s="35">
        <f>$F$35*$H$35*$I$35*(1-$J$35)*Rampa!I18</f>
        <v>19.38</v>
      </c>
      <c r="S35" s="35">
        <f>$F$35*$H$35*$I$35*(1-$J$35)*Rampa!J18</f>
        <v>19.38</v>
      </c>
      <c r="T35" s="35">
        <f>$F$35*$H$35*$I$35*(1-$J$35)*Rampa!K18</f>
        <v>19.38</v>
      </c>
      <c r="U35" s="35">
        <f>$F$35*$H$35*$I$35*(1-$J$35)*Rampa!L18</f>
        <v>19.38</v>
      </c>
      <c r="V35" s="35">
        <f>$F$35*$H$35*$I$35*(1-$J$35)*Rampa!M18</f>
        <v>19.38</v>
      </c>
      <c r="W35" s="35">
        <f>$F$35*$H$35*$I$35*(1-$J$35)*Rampa!N18</f>
        <v>19.38</v>
      </c>
      <c r="X35" s="35">
        <f>$F$35*$H$35*$I$35*(1-$J$35)*Rampa!O18</f>
        <v>19.38</v>
      </c>
      <c r="Y35" s="35">
        <f>$F$35*$H$35*$I$35*(1-$J$35)*Rampa!P18</f>
        <v>19.38</v>
      </c>
      <c r="Z35" s="35">
        <f>$F$35*$H$35*$I$35*(1-$J$35)*Rampa!Q18</f>
        <v>19.38</v>
      </c>
      <c r="AA35" s="35">
        <f>$F$35*$H$35*$I$35*(1-$J$35)*Rampa!R18</f>
        <v>19.38</v>
      </c>
      <c r="AB35" s="35">
        <f>$F$35*$H$35*$I$35*(1-$J$35)*Rampa!S18</f>
        <v>19.38</v>
      </c>
      <c r="AC35" s="35">
        <f>$F$35*$H$35*$I$35*(1-$J$35)*Rampa!T18</f>
        <v>19.38</v>
      </c>
      <c r="AD35" s="35">
        <f>$F$35*$H$35*$I$35*(1-$J$35)*Rampa!U18</f>
        <v>19.38</v>
      </c>
      <c r="AE35" s="35">
        <f>$F$35*$H$35*$I$35*(1-$J$35)*Rampa!V18</f>
        <v>19.38</v>
      </c>
      <c r="AF35" s="35">
        <f>$F$35*$H$35*$I$35*(1-$J$35)*Rampa!W18</f>
        <v>19.38</v>
      </c>
      <c r="AG35" s="35">
        <f>$F$35*$H$35*$I$35*(1-$J$35)*Rampa!X18</f>
        <v>19.38</v>
      </c>
      <c r="AH35" s="35">
        <f>$F$35*$H$35*$I$35*(1-$J$35)*Rampa!Y18</f>
        <v>19.38</v>
      </c>
      <c r="AI35" s="35">
        <f>$F$35*$H$35*$I$35*(1-$J$35)*Rampa!Z18</f>
        <v>19.38</v>
      </c>
      <c r="AJ35" s="35">
        <f>$F$35*$H$35*$I$35*(1-$J$35)*Rampa!AA18</f>
        <v>19.38</v>
      </c>
      <c r="AK35" s="35">
        <f>$F$35*$H$35*$I$35*(1-$J$35)*Rampa!AB18</f>
        <v>19.38</v>
      </c>
      <c r="AL35" s="35">
        <f>$F$35*$H$35*$I$35*(1-$J$35)*Rampa!AC18</f>
        <v>19.38</v>
      </c>
      <c r="AM35" s="35">
        <f>$F$35*$H$35*$I$35*(1-$J$35)*Rampa!AD18</f>
        <v>19.38</v>
      </c>
      <c r="AN35" s="35">
        <f>$F$35*$H$35*$I$35*(1-$J$35)*Rampa!AE18</f>
        <v>19.38</v>
      </c>
      <c r="AO35" s="35">
        <f>$F$35*$H$35*$I$35*(1-$J$35)*Rampa!AF18</f>
        <v>19.38</v>
      </c>
      <c r="AP35" s="35">
        <f>$F$35*$H$35*$I$35*(1-$J$35)*Rampa!AG18</f>
        <v>19.38</v>
      </c>
      <c r="AQ35" s="35">
        <f>$F$35*$H$35*$I$35*(1-$J$35)*Rampa!AH18</f>
        <v>19.38</v>
      </c>
      <c r="AR35" s="35">
        <f>$F$35*$H$35*$I$35*(1-$J$35)*Rampa!AI18</f>
        <v>19.38</v>
      </c>
      <c r="AS35" s="35">
        <f>$F$35*$H$35*$I$35*(1-$J$35)*Rampa!AJ18</f>
        <v>19.38</v>
      </c>
      <c r="AT35" s="36">
        <f>$F$35*$H$35*$I$35*(1-$J$35)*Rampa!AK18</f>
        <v>19.38</v>
      </c>
    </row>
    <row r="36" ht="12.0" customHeight="1">
      <c r="A36" s="1"/>
      <c r="B36" s="46"/>
      <c r="C36" s="43" t="s">
        <v>90</v>
      </c>
      <c r="D36" s="11" t="s">
        <v>79</v>
      </c>
      <c r="E36" s="12" t="s">
        <v>80</v>
      </c>
      <c r="F36" s="44">
        <v>4.0</v>
      </c>
      <c r="G36" s="45" t="s">
        <v>49</v>
      </c>
      <c r="H36" s="14">
        <v>0.098</v>
      </c>
      <c r="I36" s="12">
        <v>730.0</v>
      </c>
      <c r="J36" s="15">
        <v>0.05</v>
      </c>
      <c r="K36" s="16">
        <f>$F$36*$H$36*$I$36*(1-$J$36)*Rampa!B19</f>
        <v>271.852</v>
      </c>
      <c r="L36" s="16">
        <f>$F$36*$H$36*$I$36*(1-$J$36)*Rampa!C19</f>
        <v>271.852</v>
      </c>
      <c r="M36" s="16">
        <f>$F$36*$H$36*$I$36*(1-$J$36)*Rampa!D19</f>
        <v>271.852</v>
      </c>
      <c r="N36" s="16">
        <f>$F$36*$H$36*$I$36*(1-$J$36)*Rampa!E19</f>
        <v>271.852</v>
      </c>
      <c r="O36" s="16">
        <f>$F$36*$H$36*$I$36*(1-$J$36)*Rampa!F19</f>
        <v>271.852</v>
      </c>
      <c r="P36" s="16">
        <f>$F$36*$H$36*$I$36*(1-$J$36)*Rampa!G19</f>
        <v>271.852</v>
      </c>
      <c r="Q36" s="16">
        <f>$F$36*$H$36*$I$36*(1-$J$36)*Rampa!H19</f>
        <v>271.852</v>
      </c>
      <c r="R36" s="16">
        <f>$F$36*$H$36*$I$36*(1-$J$36)*Rampa!I19</f>
        <v>271.852</v>
      </c>
      <c r="S36" s="16">
        <f>$F$36*$H$36*$I$36*(1-$J$36)*Rampa!J19</f>
        <v>271.852</v>
      </c>
      <c r="T36" s="16">
        <f>$F$36*$H$36*$I$36*(1-$J$36)*Rampa!K19</f>
        <v>271.852</v>
      </c>
      <c r="U36" s="16">
        <f>$F$36*$H$36*$I$36*(1-$J$36)*Rampa!L19</f>
        <v>271.852</v>
      </c>
      <c r="V36" s="16">
        <f>$F$36*$H$36*$I$36*(1-$J$36)*Rampa!M19</f>
        <v>271.852</v>
      </c>
      <c r="W36" s="16">
        <f>$F$36*$H$36*$I$36*(1-$J$36)*Rampa!N19</f>
        <v>271.852</v>
      </c>
      <c r="X36" s="16">
        <f>$F$36*$H$36*$I$36*(1-$J$36)*Rampa!O19</f>
        <v>271.852</v>
      </c>
      <c r="Y36" s="16">
        <f>$F$36*$H$36*$I$36*(1-$J$36)*Rampa!P19</f>
        <v>271.852</v>
      </c>
      <c r="Z36" s="16">
        <f>$F$36*$H$36*$I$36*(1-$J$36)*Rampa!Q19</f>
        <v>271.852</v>
      </c>
      <c r="AA36" s="16">
        <f>$F$36*$H$36*$I$36*(1-$J$36)*Rampa!R19</f>
        <v>271.852</v>
      </c>
      <c r="AB36" s="16">
        <f>$F$36*$H$36*$I$36*(1-$J$36)*Rampa!S19</f>
        <v>271.852</v>
      </c>
      <c r="AC36" s="16">
        <f>$F$36*$H$36*$I$36*(1-$J$36)*Rampa!T19</f>
        <v>271.852</v>
      </c>
      <c r="AD36" s="16">
        <f>$F$36*$H$36*$I$36*(1-$J$36)*Rampa!U19</f>
        <v>271.852</v>
      </c>
      <c r="AE36" s="16">
        <f>$F$36*$H$36*$I$36*(1-$J$36)*Rampa!V19</f>
        <v>271.852</v>
      </c>
      <c r="AF36" s="16">
        <f>$F$36*$H$36*$I$36*(1-$J$36)*Rampa!W19</f>
        <v>271.852</v>
      </c>
      <c r="AG36" s="16">
        <f>$F$36*$H$36*$I$36*(1-$J$36)*Rampa!X19</f>
        <v>271.852</v>
      </c>
      <c r="AH36" s="16">
        <f>$F$36*$H$36*$I$36*(1-$J$36)*Rampa!Y19</f>
        <v>271.852</v>
      </c>
      <c r="AI36" s="16">
        <f>$F$36*$H$36*$I$36*(1-$J$36)*Rampa!Z19</f>
        <v>271.852</v>
      </c>
      <c r="AJ36" s="16">
        <f>$F$36*$H$36*$I$36*(1-$J$36)*Rampa!AA19</f>
        <v>271.852</v>
      </c>
      <c r="AK36" s="16">
        <f>$F$36*$H$36*$I$36*(1-$J$36)*Rampa!AB19</f>
        <v>271.852</v>
      </c>
      <c r="AL36" s="16">
        <f>$F$36*$H$36*$I$36*(1-$J$36)*Rampa!AC19</f>
        <v>271.852</v>
      </c>
      <c r="AM36" s="16">
        <f>$F$36*$H$36*$I$36*(1-$J$36)*Rampa!AD19</f>
        <v>271.852</v>
      </c>
      <c r="AN36" s="16">
        <f>$F$36*$H$36*$I$36*(1-$J$36)*Rampa!AE19</f>
        <v>271.852</v>
      </c>
      <c r="AO36" s="16">
        <f>$F$36*$H$36*$I$36*(1-$J$36)*Rampa!AF19</f>
        <v>271.852</v>
      </c>
      <c r="AP36" s="16">
        <f>$F$36*$H$36*$I$36*(1-$J$36)*Rampa!AG19</f>
        <v>271.852</v>
      </c>
      <c r="AQ36" s="16">
        <f>$F$36*$H$36*$I$36*(1-$J$36)*Rampa!AH19</f>
        <v>271.852</v>
      </c>
      <c r="AR36" s="16">
        <f>$F$36*$H$36*$I$36*(1-$J$36)*Rampa!AI19</f>
        <v>271.852</v>
      </c>
      <c r="AS36" s="16">
        <f>$F$36*$H$36*$I$36*(1-$J$36)*Rampa!AJ19</f>
        <v>271.852</v>
      </c>
      <c r="AT36" s="17">
        <f>$F$36*$H$36*$I$36*(1-$J$36)*Rampa!AK19</f>
        <v>271.852</v>
      </c>
    </row>
    <row r="37" ht="12.0" customHeight="1">
      <c r="A37" s="1"/>
      <c r="B37" s="46"/>
      <c r="C37" s="18"/>
      <c r="D37" s="20" t="s">
        <v>81</v>
      </c>
      <c r="E37" s="21" t="s">
        <v>82</v>
      </c>
      <c r="F37" s="39">
        <v>168.0</v>
      </c>
      <c r="G37" s="27" t="s">
        <v>52</v>
      </c>
      <c r="H37" s="23">
        <v>0.072</v>
      </c>
      <c r="I37" s="21">
        <v>1.0</v>
      </c>
      <c r="J37" s="24">
        <v>0.05</v>
      </c>
      <c r="K37" s="25">
        <f>$F$37*$H$37*$I$37*(1-$J$37)*Rampa!B19</f>
        <v>11.4912</v>
      </c>
      <c r="L37" s="25">
        <f>$F$37*$H$37*$I$37*(1-$J$37)*Rampa!C19</f>
        <v>11.4912</v>
      </c>
      <c r="M37" s="25">
        <f>$F$37*$H$37*$I$37*(1-$J$37)*Rampa!D19</f>
        <v>11.4912</v>
      </c>
      <c r="N37" s="25">
        <f>$F$37*$H$37*$I$37*(1-$J$37)*Rampa!E19</f>
        <v>11.4912</v>
      </c>
      <c r="O37" s="25">
        <f>$F$37*$H$37*$I$37*(1-$J$37)*Rampa!F19</f>
        <v>11.4912</v>
      </c>
      <c r="P37" s="25">
        <f>$F$37*$H$37*$I$37*(1-$J$37)*Rampa!G19</f>
        <v>11.4912</v>
      </c>
      <c r="Q37" s="25">
        <f>$F$37*$H$37*$I$37*(1-$J$37)*Rampa!H19</f>
        <v>11.4912</v>
      </c>
      <c r="R37" s="25">
        <f>$F$37*$H$37*$I$37*(1-$J$37)*Rampa!I19</f>
        <v>11.4912</v>
      </c>
      <c r="S37" s="25">
        <f>$F$37*$H$37*$I$37*(1-$J$37)*Rampa!J19</f>
        <v>11.4912</v>
      </c>
      <c r="T37" s="25">
        <f>$F$37*$H$37*$I$37*(1-$J$37)*Rampa!K19</f>
        <v>11.4912</v>
      </c>
      <c r="U37" s="25">
        <f>$F$37*$H$37*$I$37*(1-$J$37)*Rampa!L19</f>
        <v>11.4912</v>
      </c>
      <c r="V37" s="25">
        <f>$F$37*$H$37*$I$37*(1-$J$37)*Rampa!M19</f>
        <v>11.4912</v>
      </c>
      <c r="W37" s="25">
        <f>$F$37*$H$37*$I$37*(1-$J$37)*Rampa!N19</f>
        <v>11.4912</v>
      </c>
      <c r="X37" s="25">
        <f>$F$37*$H$37*$I$37*(1-$J$37)*Rampa!O19</f>
        <v>11.4912</v>
      </c>
      <c r="Y37" s="25">
        <f>$F$37*$H$37*$I$37*(1-$J$37)*Rampa!P19</f>
        <v>11.4912</v>
      </c>
      <c r="Z37" s="25">
        <f>$F$37*$H$37*$I$37*(1-$J$37)*Rampa!Q19</f>
        <v>11.4912</v>
      </c>
      <c r="AA37" s="25">
        <f>$F$37*$H$37*$I$37*(1-$J$37)*Rampa!R19</f>
        <v>11.4912</v>
      </c>
      <c r="AB37" s="25">
        <f>$F$37*$H$37*$I$37*(1-$J$37)*Rampa!S19</f>
        <v>11.4912</v>
      </c>
      <c r="AC37" s="25">
        <f>$F$37*$H$37*$I$37*(1-$J$37)*Rampa!T19</f>
        <v>11.4912</v>
      </c>
      <c r="AD37" s="25">
        <f>$F$37*$H$37*$I$37*(1-$J$37)*Rampa!U19</f>
        <v>11.4912</v>
      </c>
      <c r="AE37" s="25">
        <f>$F$37*$H$37*$I$37*(1-$J$37)*Rampa!V19</f>
        <v>11.4912</v>
      </c>
      <c r="AF37" s="25">
        <f>$F$37*$H$37*$I$37*(1-$J$37)*Rampa!W19</f>
        <v>11.4912</v>
      </c>
      <c r="AG37" s="25">
        <f>$F$37*$H$37*$I$37*(1-$J$37)*Rampa!X19</f>
        <v>11.4912</v>
      </c>
      <c r="AH37" s="25">
        <f>$F$37*$H$37*$I$37*(1-$J$37)*Rampa!Y19</f>
        <v>11.4912</v>
      </c>
      <c r="AI37" s="25">
        <f>$F$37*$H$37*$I$37*(1-$J$37)*Rampa!Z19</f>
        <v>11.4912</v>
      </c>
      <c r="AJ37" s="25">
        <f>$F$37*$H$37*$I$37*(1-$J$37)*Rampa!AA19</f>
        <v>11.4912</v>
      </c>
      <c r="AK37" s="25">
        <f>$F$37*$H$37*$I$37*(1-$J$37)*Rampa!AB19</f>
        <v>11.4912</v>
      </c>
      <c r="AL37" s="25">
        <f>$F$37*$H$37*$I$37*(1-$J$37)*Rampa!AC19</f>
        <v>11.4912</v>
      </c>
      <c r="AM37" s="25">
        <f>$F$37*$H$37*$I$37*(1-$J$37)*Rampa!AD19</f>
        <v>11.4912</v>
      </c>
      <c r="AN37" s="25">
        <f>$F$37*$H$37*$I$37*(1-$J$37)*Rampa!AE19</f>
        <v>11.4912</v>
      </c>
      <c r="AO37" s="25">
        <f>$F$37*$H$37*$I$37*(1-$J$37)*Rampa!AF19</f>
        <v>11.4912</v>
      </c>
      <c r="AP37" s="25">
        <f>$F$37*$H$37*$I$37*(1-$J$37)*Rampa!AG19</f>
        <v>11.4912</v>
      </c>
      <c r="AQ37" s="25">
        <f>$F$37*$H$37*$I$37*(1-$J$37)*Rampa!AH19</f>
        <v>11.4912</v>
      </c>
      <c r="AR37" s="25">
        <f>$F$37*$H$37*$I$37*(1-$J$37)*Rampa!AI19</f>
        <v>11.4912</v>
      </c>
      <c r="AS37" s="25">
        <f>$F$37*$H$37*$I$37*(1-$J$37)*Rampa!AJ19</f>
        <v>11.4912</v>
      </c>
      <c r="AT37" s="26">
        <f>$F$37*$H$37*$I$37*(1-$J$37)*Rampa!AK19</f>
        <v>11.4912</v>
      </c>
    </row>
    <row r="38" ht="12.0" customHeight="1">
      <c r="A38" s="1"/>
      <c r="B38" s="46"/>
      <c r="C38" s="18"/>
      <c r="D38" s="20" t="s">
        <v>83</v>
      </c>
      <c r="E38" s="21" t="s">
        <v>84</v>
      </c>
      <c r="F38" s="39">
        <v>4.0</v>
      </c>
      <c r="G38" s="27" t="s">
        <v>49</v>
      </c>
      <c r="H38" s="23">
        <v>0.025</v>
      </c>
      <c r="I38" s="21">
        <v>730.0</v>
      </c>
      <c r="J38" s="24">
        <v>0.05</v>
      </c>
      <c r="K38" s="25">
        <f>$F$38*$H$38*$I$38*(1-$J$38)*Rampa!B19</f>
        <v>69.35</v>
      </c>
      <c r="L38" s="25">
        <f>$F$38*$H$38*$I$38*(1-$J$38)*Rampa!C19</f>
        <v>69.35</v>
      </c>
      <c r="M38" s="25">
        <f>$F$38*$H$38*$I$38*(1-$J$38)*Rampa!D19</f>
        <v>69.35</v>
      </c>
      <c r="N38" s="25">
        <f>$F$38*$H$38*$I$38*(1-$J$38)*Rampa!E19</f>
        <v>69.35</v>
      </c>
      <c r="O38" s="25">
        <f>$F$38*$H$38*$I$38*(1-$J$38)*Rampa!F19</f>
        <v>69.35</v>
      </c>
      <c r="P38" s="25">
        <f>$F$38*$H$38*$I$38*(1-$J$38)*Rampa!G19</f>
        <v>69.35</v>
      </c>
      <c r="Q38" s="25">
        <f>$F$38*$H$38*$I$38*(1-$J$38)*Rampa!H19</f>
        <v>69.35</v>
      </c>
      <c r="R38" s="25">
        <f>$F$38*$H$38*$I$38*(1-$J$38)*Rampa!I19</f>
        <v>69.35</v>
      </c>
      <c r="S38" s="25">
        <f>$F$38*$H$38*$I$38*(1-$J$38)*Rampa!J19</f>
        <v>69.35</v>
      </c>
      <c r="T38" s="25">
        <f>$F$38*$H$38*$I$38*(1-$J$38)*Rampa!K19</f>
        <v>69.35</v>
      </c>
      <c r="U38" s="25">
        <f>$F$38*$H$38*$I$38*(1-$J$38)*Rampa!L19</f>
        <v>69.35</v>
      </c>
      <c r="V38" s="25">
        <f>$F$38*$H$38*$I$38*(1-$J$38)*Rampa!M19</f>
        <v>69.35</v>
      </c>
      <c r="W38" s="25">
        <f>$F$38*$H$38*$I$38*(1-$J$38)*Rampa!N19</f>
        <v>69.35</v>
      </c>
      <c r="X38" s="25">
        <f>$F$38*$H$38*$I$38*(1-$J$38)*Rampa!O19</f>
        <v>69.35</v>
      </c>
      <c r="Y38" s="25">
        <f>$F$38*$H$38*$I$38*(1-$J$38)*Rampa!P19</f>
        <v>69.35</v>
      </c>
      <c r="Z38" s="25">
        <f>$F$38*$H$38*$I$38*(1-$J$38)*Rampa!Q19</f>
        <v>69.35</v>
      </c>
      <c r="AA38" s="25">
        <f>$F$38*$H$38*$I$38*(1-$J$38)*Rampa!R19</f>
        <v>69.35</v>
      </c>
      <c r="AB38" s="25">
        <f>$F$38*$H$38*$I$38*(1-$J$38)*Rampa!S19</f>
        <v>69.35</v>
      </c>
      <c r="AC38" s="25">
        <f>$F$38*$H$38*$I$38*(1-$J$38)*Rampa!T19</f>
        <v>69.35</v>
      </c>
      <c r="AD38" s="25">
        <f>$F$38*$H$38*$I$38*(1-$J$38)*Rampa!U19</f>
        <v>69.35</v>
      </c>
      <c r="AE38" s="25">
        <f>$F$38*$H$38*$I$38*(1-$J$38)*Rampa!V19</f>
        <v>69.35</v>
      </c>
      <c r="AF38" s="25">
        <f>$F$38*$H$38*$I$38*(1-$J$38)*Rampa!W19</f>
        <v>69.35</v>
      </c>
      <c r="AG38" s="25">
        <f>$F$38*$H$38*$I$38*(1-$J$38)*Rampa!X19</f>
        <v>69.35</v>
      </c>
      <c r="AH38" s="25">
        <f>$F$38*$H$38*$I$38*(1-$J$38)*Rampa!Y19</f>
        <v>69.35</v>
      </c>
      <c r="AI38" s="25">
        <f>$F$38*$H$38*$I$38*(1-$J$38)*Rampa!Z19</f>
        <v>69.35</v>
      </c>
      <c r="AJ38" s="25">
        <f>$F$38*$H$38*$I$38*(1-$J$38)*Rampa!AA19</f>
        <v>69.35</v>
      </c>
      <c r="AK38" s="25">
        <f>$F$38*$H$38*$I$38*(1-$J$38)*Rampa!AB19</f>
        <v>69.35</v>
      </c>
      <c r="AL38" s="25">
        <f>$F$38*$H$38*$I$38*(1-$J$38)*Rampa!AC19</f>
        <v>69.35</v>
      </c>
      <c r="AM38" s="25">
        <f>$F$38*$H$38*$I$38*(1-$J$38)*Rampa!AD19</f>
        <v>69.35</v>
      </c>
      <c r="AN38" s="25">
        <f>$F$38*$H$38*$I$38*(1-$J$38)*Rampa!AE19</f>
        <v>69.35</v>
      </c>
      <c r="AO38" s="25">
        <f>$F$38*$H$38*$I$38*(1-$J$38)*Rampa!AF19</f>
        <v>69.35</v>
      </c>
      <c r="AP38" s="25">
        <f>$F$38*$H$38*$I$38*(1-$J$38)*Rampa!AG19</f>
        <v>69.35</v>
      </c>
      <c r="AQ38" s="25">
        <f>$F$38*$H$38*$I$38*(1-$J$38)*Rampa!AH19</f>
        <v>69.35</v>
      </c>
      <c r="AR38" s="25">
        <f>$F$38*$H$38*$I$38*(1-$J$38)*Rampa!AI19</f>
        <v>69.35</v>
      </c>
      <c r="AS38" s="25">
        <f>$F$38*$H$38*$I$38*(1-$J$38)*Rampa!AJ19</f>
        <v>69.35</v>
      </c>
      <c r="AT38" s="26">
        <f>$F$38*$H$38*$I$38*(1-$J$38)*Rampa!AK19</f>
        <v>69.35</v>
      </c>
    </row>
    <row r="39" ht="12.0" customHeight="1">
      <c r="A39" s="1"/>
      <c r="B39" s="46"/>
      <c r="C39" s="18"/>
      <c r="D39" s="20" t="s">
        <v>85</v>
      </c>
      <c r="E39" s="21" t="s">
        <v>86</v>
      </c>
      <c r="F39" s="39">
        <v>64.0</v>
      </c>
      <c r="G39" s="27" t="s">
        <v>87</v>
      </c>
      <c r="H39" s="23">
        <v>0.0015</v>
      </c>
      <c r="I39" s="21">
        <v>730.0</v>
      </c>
      <c r="J39" s="24">
        <v>0.05</v>
      </c>
      <c r="K39" s="25">
        <f>$F$39*$H$39*$I$39*(1-$J$39)*Rampa!B19</f>
        <v>66.576</v>
      </c>
      <c r="L39" s="25">
        <f>$F$39*$H$39*$I$39*(1-$J$39)*Rampa!C19</f>
        <v>66.576</v>
      </c>
      <c r="M39" s="25">
        <f>$F$39*$H$39*$I$39*(1-$J$39)*Rampa!D19</f>
        <v>66.576</v>
      </c>
      <c r="N39" s="25">
        <f>$F$39*$H$39*$I$39*(1-$J$39)*Rampa!E19</f>
        <v>66.576</v>
      </c>
      <c r="O39" s="25">
        <f>$F$39*$H$39*$I$39*(1-$J$39)*Rampa!F19</f>
        <v>66.576</v>
      </c>
      <c r="P39" s="25">
        <f>$F$39*$H$39*$I$39*(1-$J$39)*Rampa!G19</f>
        <v>66.576</v>
      </c>
      <c r="Q39" s="25">
        <f>$F$39*$H$39*$I$39*(1-$J$39)*Rampa!H19</f>
        <v>66.576</v>
      </c>
      <c r="R39" s="25">
        <f>$F$39*$H$39*$I$39*(1-$J$39)*Rampa!I19</f>
        <v>66.576</v>
      </c>
      <c r="S39" s="25">
        <f>$F$39*$H$39*$I$39*(1-$J$39)*Rampa!J19</f>
        <v>66.576</v>
      </c>
      <c r="T39" s="25">
        <f>$F$39*$H$39*$I$39*(1-$J$39)*Rampa!K19</f>
        <v>66.576</v>
      </c>
      <c r="U39" s="25">
        <f>$F$39*$H$39*$I$39*(1-$J$39)*Rampa!L19</f>
        <v>66.576</v>
      </c>
      <c r="V39" s="25">
        <f>$F$39*$H$39*$I$39*(1-$J$39)*Rampa!M19</f>
        <v>66.576</v>
      </c>
      <c r="W39" s="25">
        <f>$F$39*$H$39*$I$39*(1-$J$39)*Rampa!N19</f>
        <v>66.576</v>
      </c>
      <c r="X39" s="25">
        <f>$F$39*$H$39*$I$39*(1-$J$39)*Rampa!O19</f>
        <v>66.576</v>
      </c>
      <c r="Y39" s="25">
        <f>$F$39*$H$39*$I$39*(1-$J$39)*Rampa!P19</f>
        <v>66.576</v>
      </c>
      <c r="Z39" s="25">
        <f>$F$39*$H$39*$I$39*(1-$J$39)*Rampa!Q19</f>
        <v>66.576</v>
      </c>
      <c r="AA39" s="25">
        <f>$F$39*$H$39*$I$39*(1-$J$39)*Rampa!R19</f>
        <v>66.576</v>
      </c>
      <c r="AB39" s="25">
        <f>$F$39*$H$39*$I$39*(1-$J$39)*Rampa!S19</f>
        <v>66.576</v>
      </c>
      <c r="AC39" s="25">
        <f>$F$39*$H$39*$I$39*(1-$J$39)*Rampa!T19</f>
        <v>66.576</v>
      </c>
      <c r="AD39" s="25">
        <f>$F$39*$H$39*$I$39*(1-$J$39)*Rampa!U19</f>
        <v>66.576</v>
      </c>
      <c r="AE39" s="25">
        <f>$F$39*$H$39*$I$39*(1-$J$39)*Rampa!V19</f>
        <v>66.576</v>
      </c>
      <c r="AF39" s="25">
        <f>$F$39*$H$39*$I$39*(1-$J$39)*Rampa!W19</f>
        <v>66.576</v>
      </c>
      <c r="AG39" s="25">
        <f>$F$39*$H$39*$I$39*(1-$J$39)*Rampa!X19</f>
        <v>66.576</v>
      </c>
      <c r="AH39" s="25">
        <f>$F$39*$H$39*$I$39*(1-$J$39)*Rampa!Y19</f>
        <v>66.576</v>
      </c>
      <c r="AI39" s="25">
        <f>$F$39*$H$39*$I$39*(1-$J$39)*Rampa!Z19</f>
        <v>66.576</v>
      </c>
      <c r="AJ39" s="25">
        <f>$F$39*$H$39*$I$39*(1-$J$39)*Rampa!AA19</f>
        <v>66.576</v>
      </c>
      <c r="AK39" s="25">
        <f>$F$39*$H$39*$I$39*(1-$J$39)*Rampa!AB19</f>
        <v>66.576</v>
      </c>
      <c r="AL39" s="25">
        <f>$F$39*$H$39*$I$39*(1-$J$39)*Rampa!AC19</f>
        <v>66.576</v>
      </c>
      <c r="AM39" s="25">
        <f>$F$39*$H$39*$I$39*(1-$J$39)*Rampa!AD19</f>
        <v>66.576</v>
      </c>
      <c r="AN39" s="25">
        <f>$F$39*$H$39*$I$39*(1-$J$39)*Rampa!AE19</f>
        <v>66.576</v>
      </c>
      <c r="AO39" s="25">
        <f>$F$39*$H$39*$I$39*(1-$J$39)*Rampa!AF19</f>
        <v>66.576</v>
      </c>
      <c r="AP39" s="25">
        <f>$F$39*$H$39*$I$39*(1-$J$39)*Rampa!AG19</f>
        <v>66.576</v>
      </c>
      <c r="AQ39" s="25">
        <f>$F$39*$H$39*$I$39*(1-$J$39)*Rampa!AH19</f>
        <v>66.576</v>
      </c>
      <c r="AR39" s="25">
        <f>$F$39*$H$39*$I$39*(1-$J$39)*Rampa!AI19</f>
        <v>66.576</v>
      </c>
      <c r="AS39" s="25">
        <f>$F$39*$H$39*$I$39*(1-$J$39)*Rampa!AJ19</f>
        <v>66.576</v>
      </c>
      <c r="AT39" s="26">
        <f>$F$39*$H$39*$I$39*(1-$J$39)*Rampa!AK19</f>
        <v>66.576</v>
      </c>
    </row>
    <row r="40" ht="12.0" customHeight="1">
      <c r="A40" s="1"/>
      <c r="B40" s="46"/>
      <c r="C40" s="18"/>
      <c r="D40" s="20" t="s">
        <v>50</v>
      </c>
      <c r="E40" s="21" t="s">
        <v>51</v>
      </c>
      <c r="F40" s="39">
        <v>168.0</v>
      </c>
      <c r="G40" s="27" t="s">
        <v>52</v>
      </c>
      <c r="H40" s="23">
        <v>0.0255</v>
      </c>
      <c r="I40" s="21">
        <v>1.0</v>
      </c>
      <c r="J40" s="24">
        <v>0.05</v>
      </c>
      <c r="K40" s="25">
        <f>$F$40*$H$40*$I$40*(1-$J$40)*Rampa!B19</f>
        <v>4.0698</v>
      </c>
      <c r="L40" s="25">
        <f>$F$40*$H$40*$I$40*(1-$J$40)*Rampa!C19</f>
        <v>4.0698</v>
      </c>
      <c r="M40" s="25">
        <f>$F$40*$H$40*$I$40*(1-$J$40)*Rampa!D19</f>
        <v>4.0698</v>
      </c>
      <c r="N40" s="25">
        <f>$F$40*$H$40*$I$40*(1-$J$40)*Rampa!E19</f>
        <v>4.0698</v>
      </c>
      <c r="O40" s="25">
        <f>$F$40*$H$40*$I$40*(1-$J$40)*Rampa!F19</f>
        <v>4.0698</v>
      </c>
      <c r="P40" s="25">
        <f>$F$40*$H$40*$I$40*(1-$J$40)*Rampa!G19</f>
        <v>4.0698</v>
      </c>
      <c r="Q40" s="25">
        <f>$F$40*$H$40*$I$40*(1-$J$40)*Rampa!H19</f>
        <v>4.0698</v>
      </c>
      <c r="R40" s="25">
        <f>$F$40*$H$40*$I$40*(1-$J$40)*Rampa!I19</f>
        <v>4.0698</v>
      </c>
      <c r="S40" s="25">
        <f>$F$40*$H$40*$I$40*(1-$J$40)*Rampa!J19</f>
        <v>4.0698</v>
      </c>
      <c r="T40" s="25">
        <f>$F$40*$H$40*$I$40*(1-$J$40)*Rampa!K19</f>
        <v>4.0698</v>
      </c>
      <c r="U40" s="25">
        <f>$F$40*$H$40*$I$40*(1-$J$40)*Rampa!L19</f>
        <v>4.0698</v>
      </c>
      <c r="V40" s="25">
        <f>$F$40*$H$40*$I$40*(1-$J$40)*Rampa!M19</f>
        <v>4.0698</v>
      </c>
      <c r="W40" s="25">
        <f>$F$40*$H$40*$I$40*(1-$J$40)*Rampa!N19</f>
        <v>4.0698</v>
      </c>
      <c r="X40" s="25">
        <f>$F$40*$H$40*$I$40*(1-$J$40)*Rampa!O19</f>
        <v>4.0698</v>
      </c>
      <c r="Y40" s="25">
        <f>$F$40*$H$40*$I$40*(1-$J$40)*Rampa!P19</f>
        <v>4.0698</v>
      </c>
      <c r="Z40" s="25">
        <f>$F$40*$H$40*$I$40*(1-$J$40)*Rampa!Q19</f>
        <v>4.0698</v>
      </c>
      <c r="AA40" s="25">
        <f>$F$40*$H$40*$I$40*(1-$J$40)*Rampa!R19</f>
        <v>4.0698</v>
      </c>
      <c r="AB40" s="25">
        <f>$F$40*$H$40*$I$40*(1-$J$40)*Rampa!S19</f>
        <v>4.0698</v>
      </c>
      <c r="AC40" s="25">
        <f>$F$40*$H$40*$I$40*(1-$J$40)*Rampa!T19</f>
        <v>4.0698</v>
      </c>
      <c r="AD40" s="25">
        <f>$F$40*$H$40*$I$40*(1-$J$40)*Rampa!U19</f>
        <v>4.0698</v>
      </c>
      <c r="AE40" s="25">
        <f>$F$40*$H$40*$I$40*(1-$J$40)*Rampa!V19</f>
        <v>4.0698</v>
      </c>
      <c r="AF40" s="25">
        <f>$F$40*$H$40*$I$40*(1-$J$40)*Rampa!W19</f>
        <v>4.0698</v>
      </c>
      <c r="AG40" s="25">
        <f>$F$40*$H$40*$I$40*(1-$J$40)*Rampa!X19</f>
        <v>4.0698</v>
      </c>
      <c r="AH40" s="25">
        <f>$F$40*$H$40*$I$40*(1-$J$40)*Rampa!Y19</f>
        <v>4.0698</v>
      </c>
      <c r="AI40" s="25">
        <f>$F$40*$H$40*$I$40*(1-$J$40)*Rampa!Z19</f>
        <v>4.0698</v>
      </c>
      <c r="AJ40" s="25">
        <f>$F$40*$H$40*$I$40*(1-$J$40)*Rampa!AA19</f>
        <v>4.0698</v>
      </c>
      <c r="AK40" s="25">
        <f>$F$40*$H$40*$I$40*(1-$J$40)*Rampa!AB19</f>
        <v>4.0698</v>
      </c>
      <c r="AL40" s="25">
        <f>$F$40*$H$40*$I$40*(1-$J$40)*Rampa!AC19</f>
        <v>4.0698</v>
      </c>
      <c r="AM40" s="25">
        <f>$F$40*$H$40*$I$40*(1-$J$40)*Rampa!AD19</f>
        <v>4.0698</v>
      </c>
      <c r="AN40" s="25">
        <f>$F$40*$H$40*$I$40*(1-$J$40)*Rampa!AE19</f>
        <v>4.0698</v>
      </c>
      <c r="AO40" s="25">
        <f>$F$40*$H$40*$I$40*(1-$J$40)*Rampa!AF19</f>
        <v>4.0698</v>
      </c>
      <c r="AP40" s="25">
        <f>$F$40*$H$40*$I$40*(1-$J$40)*Rampa!AG19</f>
        <v>4.0698</v>
      </c>
      <c r="AQ40" s="25">
        <f>$F$40*$H$40*$I$40*(1-$J$40)*Rampa!AH19</f>
        <v>4.0698</v>
      </c>
      <c r="AR40" s="25">
        <f>$F$40*$H$40*$I$40*(1-$J$40)*Rampa!AI19</f>
        <v>4.0698</v>
      </c>
      <c r="AS40" s="25">
        <f>$F$40*$H$40*$I$40*(1-$J$40)*Rampa!AJ19</f>
        <v>4.0698</v>
      </c>
      <c r="AT40" s="26">
        <f>$F$40*$H$40*$I$40*(1-$J$40)*Rampa!AK19</f>
        <v>4.0698</v>
      </c>
    </row>
    <row r="41" ht="12.0" customHeight="1">
      <c r="A41" s="1"/>
      <c r="B41" s="48"/>
      <c r="C41" s="29"/>
      <c r="D41" s="31" t="s">
        <v>53</v>
      </c>
      <c r="E41" s="32" t="s">
        <v>54</v>
      </c>
      <c r="F41" s="47">
        <f>F40*120</f>
        <v>20160</v>
      </c>
      <c r="G41" s="41" t="s">
        <v>55</v>
      </c>
      <c r="H41" s="33">
        <v>0.0017</v>
      </c>
      <c r="I41" s="32">
        <v>1.0</v>
      </c>
      <c r="J41" s="34">
        <v>0.05</v>
      </c>
      <c r="K41" s="35">
        <f>$F$41*$H$41*$I$41*(1-$J$41)*Rampa!B19</f>
        <v>32.5584</v>
      </c>
      <c r="L41" s="35">
        <f>$F$41*$H$41*$I$41*(1-$J$41)*Rampa!C19</f>
        <v>32.5584</v>
      </c>
      <c r="M41" s="35">
        <f>$F$41*$H$41*$I$41*(1-$J$41)*Rampa!D19</f>
        <v>32.5584</v>
      </c>
      <c r="N41" s="35">
        <f>$F$41*$H$41*$I$41*(1-$J$41)*Rampa!E19</f>
        <v>32.5584</v>
      </c>
      <c r="O41" s="35">
        <f>$F$41*$H$41*$I$41*(1-$J$41)*Rampa!F19</f>
        <v>32.5584</v>
      </c>
      <c r="P41" s="35">
        <f>$F$41*$H$41*$I$41*(1-$J$41)*Rampa!G19</f>
        <v>32.5584</v>
      </c>
      <c r="Q41" s="35">
        <f>$F$41*$H$41*$I$41*(1-$J$41)*Rampa!H19</f>
        <v>32.5584</v>
      </c>
      <c r="R41" s="35">
        <f>$F$41*$H$41*$I$41*(1-$J$41)*Rampa!I19</f>
        <v>32.5584</v>
      </c>
      <c r="S41" s="35">
        <f>$F$41*$H$41*$I$41*(1-$J$41)*Rampa!J19</f>
        <v>32.5584</v>
      </c>
      <c r="T41" s="35">
        <f>$F$41*$H$41*$I$41*(1-$J$41)*Rampa!K19</f>
        <v>32.5584</v>
      </c>
      <c r="U41" s="35">
        <f>$F$41*$H$41*$I$41*(1-$J$41)*Rampa!L19</f>
        <v>32.5584</v>
      </c>
      <c r="V41" s="35">
        <f>$F$41*$H$41*$I$41*(1-$J$41)*Rampa!M19</f>
        <v>32.5584</v>
      </c>
      <c r="W41" s="35">
        <f>$F$41*$H$41*$I$41*(1-$J$41)*Rampa!N19</f>
        <v>32.5584</v>
      </c>
      <c r="X41" s="35">
        <f>$F$41*$H$41*$I$41*(1-$J$41)*Rampa!O19</f>
        <v>32.5584</v>
      </c>
      <c r="Y41" s="35">
        <f>$F$41*$H$41*$I$41*(1-$J$41)*Rampa!P19</f>
        <v>32.5584</v>
      </c>
      <c r="Z41" s="35">
        <f>$F$41*$H$41*$I$41*(1-$J$41)*Rampa!Q19</f>
        <v>32.5584</v>
      </c>
      <c r="AA41" s="35">
        <f>$F$41*$H$41*$I$41*(1-$J$41)*Rampa!R19</f>
        <v>32.5584</v>
      </c>
      <c r="AB41" s="35">
        <f>$F$41*$H$41*$I$41*(1-$J$41)*Rampa!S19</f>
        <v>32.5584</v>
      </c>
      <c r="AC41" s="35">
        <f>$F$41*$H$41*$I$41*(1-$J$41)*Rampa!T19</f>
        <v>32.5584</v>
      </c>
      <c r="AD41" s="35">
        <f>$F$41*$H$41*$I$41*(1-$J$41)*Rampa!U19</f>
        <v>32.5584</v>
      </c>
      <c r="AE41" s="35">
        <f>$F$41*$H$41*$I$41*(1-$J$41)*Rampa!V19</f>
        <v>32.5584</v>
      </c>
      <c r="AF41" s="35">
        <f>$F$41*$H$41*$I$41*(1-$J$41)*Rampa!W19</f>
        <v>32.5584</v>
      </c>
      <c r="AG41" s="35">
        <f>$F$41*$H$41*$I$41*(1-$J$41)*Rampa!X19</f>
        <v>32.5584</v>
      </c>
      <c r="AH41" s="35">
        <f>$F$41*$H$41*$I$41*(1-$J$41)*Rampa!Y19</f>
        <v>32.5584</v>
      </c>
      <c r="AI41" s="35">
        <f>$F$41*$H$41*$I$41*(1-$J$41)*Rampa!Z19</f>
        <v>32.5584</v>
      </c>
      <c r="AJ41" s="35">
        <f>$F$41*$H$41*$I$41*(1-$J$41)*Rampa!AA19</f>
        <v>32.5584</v>
      </c>
      <c r="AK41" s="35">
        <f>$F$41*$H$41*$I$41*(1-$J$41)*Rampa!AB19</f>
        <v>32.5584</v>
      </c>
      <c r="AL41" s="35">
        <f>$F$41*$H$41*$I$41*(1-$J$41)*Rampa!AC19</f>
        <v>32.5584</v>
      </c>
      <c r="AM41" s="35">
        <f>$F$41*$H$41*$I$41*(1-$J$41)*Rampa!AD19</f>
        <v>32.5584</v>
      </c>
      <c r="AN41" s="35">
        <f>$F$41*$H$41*$I$41*(1-$J$41)*Rampa!AE19</f>
        <v>32.5584</v>
      </c>
      <c r="AO41" s="35">
        <f>$F$41*$H$41*$I$41*(1-$J$41)*Rampa!AF19</f>
        <v>32.5584</v>
      </c>
      <c r="AP41" s="35">
        <f>$F$41*$H$41*$I$41*(1-$J$41)*Rampa!AG19</f>
        <v>32.5584</v>
      </c>
      <c r="AQ41" s="35">
        <f>$F$41*$H$41*$I$41*(1-$J$41)*Rampa!AH19</f>
        <v>32.5584</v>
      </c>
      <c r="AR41" s="35">
        <f>$F$41*$H$41*$I$41*(1-$J$41)*Rampa!AI19</f>
        <v>32.5584</v>
      </c>
      <c r="AS41" s="35">
        <f>$F$41*$H$41*$I$41*(1-$J$41)*Rampa!AJ19</f>
        <v>32.5584</v>
      </c>
      <c r="AT41" s="36">
        <f>$F$41*$H$41*$I$41*(1-$J$41)*Rampa!AK19</f>
        <v>32.5584</v>
      </c>
    </row>
    <row r="42" ht="12.0" customHeight="1">
      <c r="A42" s="1"/>
      <c r="B42" s="1"/>
      <c r="C42" s="1"/>
      <c r="D42" s="2"/>
      <c r="E42" s="1"/>
      <c r="F42" s="2"/>
      <c r="G42" s="1"/>
      <c r="H42" s="1"/>
      <c r="I42" s="1"/>
      <c r="J42" s="1"/>
      <c r="K42" s="49">
        <f t="shared" ref="K42:AT42" si="2">SUM(K6:K41)</f>
        <v>29368.6424</v>
      </c>
      <c r="L42" s="50">
        <f t="shared" si="2"/>
        <v>35226.24693</v>
      </c>
      <c r="M42" s="50">
        <f t="shared" si="2"/>
        <v>35226.24693</v>
      </c>
      <c r="N42" s="50">
        <f t="shared" si="2"/>
        <v>35226.24693</v>
      </c>
      <c r="O42" s="50">
        <f t="shared" si="2"/>
        <v>35226.24693</v>
      </c>
      <c r="P42" s="50">
        <f t="shared" si="2"/>
        <v>35226.24693</v>
      </c>
      <c r="Q42" s="50">
        <f t="shared" si="2"/>
        <v>35226.24693</v>
      </c>
      <c r="R42" s="50">
        <f t="shared" si="2"/>
        <v>35226.24693</v>
      </c>
      <c r="S42" s="50">
        <f t="shared" si="2"/>
        <v>35226.24693</v>
      </c>
      <c r="T42" s="50">
        <f t="shared" si="2"/>
        <v>35226.24693</v>
      </c>
      <c r="U42" s="50">
        <f t="shared" si="2"/>
        <v>35226.24693</v>
      </c>
      <c r="V42" s="50">
        <f t="shared" si="2"/>
        <v>35226.24693</v>
      </c>
      <c r="W42" s="50">
        <f t="shared" si="2"/>
        <v>35226.24693</v>
      </c>
      <c r="X42" s="50">
        <f t="shared" si="2"/>
        <v>35226.24693</v>
      </c>
      <c r="Y42" s="50">
        <f t="shared" si="2"/>
        <v>35226.24693</v>
      </c>
      <c r="Z42" s="50">
        <f t="shared" si="2"/>
        <v>35226.24693</v>
      </c>
      <c r="AA42" s="50">
        <f t="shared" si="2"/>
        <v>35226.24693</v>
      </c>
      <c r="AB42" s="50">
        <f t="shared" si="2"/>
        <v>35226.24693</v>
      </c>
      <c r="AC42" s="50">
        <f t="shared" si="2"/>
        <v>35226.24693</v>
      </c>
      <c r="AD42" s="50">
        <f t="shared" si="2"/>
        <v>35226.24693</v>
      </c>
      <c r="AE42" s="50">
        <f t="shared" si="2"/>
        <v>35226.24693</v>
      </c>
      <c r="AF42" s="50">
        <f t="shared" si="2"/>
        <v>35226.24693</v>
      </c>
      <c r="AG42" s="50">
        <f t="shared" si="2"/>
        <v>35226.24693</v>
      </c>
      <c r="AH42" s="50">
        <f t="shared" si="2"/>
        <v>35226.24693</v>
      </c>
      <c r="AI42" s="50">
        <f t="shared" si="2"/>
        <v>35226.24693</v>
      </c>
      <c r="AJ42" s="50">
        <f t="shared" si="2"/>
        <v>35226.24693</v>
      </c>
      <c r="AK42" s="50">
        <f t="shared" si="2"/>
        <v>35226.24693</v>
      </c>
      <c r="AL42" s="50">
        <f t="shared" si="2"/>
        <v>35226.24693</v>
      </c>
      <c r="AM42" s="50">
        <f t="shared" si="2"/>
        <v>35226.24693</v>
      </c>
      <c r="AN42" s="50">
        <f t="shared" si="2"/>
        <v>35226.24693</v>
      </c>
      <c r="AO42" s="50">
        <f t="shared" si="2"/>
        <v>35226.24693</v>
      </c>
      <c r="AP42" s="50">
        <f t="shared" si="2"/>
        <v>35226.24693</v>
      </c>
      <c r="AQ42" s="50">
        <f t="shared" si="2"/>
        <v>35226.24693</v>
      </c>
      <c r="AR42" s="50">
        <f t="shared" si="2"/>
        <v>35226.24693</v>
      </c>
      <c r="AS42" s="50">
        <f t="shared" si="2"/>
        <v>35226.24693</v>
      </c>
      <c r="AT42" s="51">
        <f t="shared" si="2"/>
        <v>35226.24693</v>
      </c>
    </row>
    <row r="43" ht="12.0" customHeight="1">
      <c r="A43" s="1"/>
      <c r="B43" s="1"/>
      <c r="C43" s="1"/>
      <c r="D43" s="2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52" t="s">
        <v>91</v>
      </c>
      <c r="V43" s="53">
        <f>SUM(K42:V42)</f>
        <v>416857.3586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52" t="s">
        <v>92</v>
      </c>
      <c r="AH43" s="53">
        <f>SUM(W42:AH42)</f>
        <v>422714.9631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52" t="s">
        <v>93</v>
      </c>
      <c r="AT43" s="53">
        <f>SUM(AI42:AT42)</f>
        <v>422714.9631</v>
      </c>
    </row>
    <row r="44" ht="12.0" customHeight="1">
      <c r="A44" s="1"/>
      <c r="B44" s="1"/>
      <c r="C44" s="1"/>
      <c r="D44" s="2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ht="12.0" customHeight="1">
      <c r="A45" s="1"/>
      <c r="B45" s="1"/>
      <c r="C45" s="1"/>
      <c r="D45" s="2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ht="12.0" customHeight="1">
      <c r="A46" s="1"/>
      <c r="B46" s="1"/>
      <c r="C46" s="1"/>
      <c r="D46" s="2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ht="12.0" customHeight="1">
      <c r="A47" s="1"/>
      <c r="B47" s="1"/>
      <c r="C47" s="1"/>
      <c r="D47" s="2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ht="12.0" customHeight="1">
      <c r="A48" s="1"/>
      <c r="B48" s="1"/>
      <c r="C48" s="1"/>
      <c r="D48" s="2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ht="12.0" customHeight="1">
      <c r="A49" s="1"/>
      <c r="B49" s="1"/>
      <c r="C49" s="1"/>
      <c r="D49" s="2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ht="12.0" customHeight="1">
      <c r="A50" s="1"/>
      <c r="B50" s="1"/>
      <c r="C50" s="1"/>
      <c r="D50" s="2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ht="12.0" customHeight="1">
      <c r="A51" s="1"/>
      <c r="B51" s="1"/>
      <c r="C51" s="1"/>
      <c r="D51" s="2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ht="12.0" customHeight="1">
      <c r="A52" s="1"/>
      <c r="B52" s="1"/>
      <c r="C52" s="1"/>
      <c r="D52" s="2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ht="12.0" customHeight="1">
      <c r="A53" s="1"/>
      <c r="B53" s="1"/>
      <c r="C53" s="1"/>
      <c r="D53" s="2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ht="12.0" customHeight="1">
      <c r="A54" s="1"/>
      <c r="B54" s="1"/>
      <c r="C54" s="1"/>
      <c r="D54" s="2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ht="12.0" customHeight="1">
      <c r="A55" s="1"/>
      <c r="B55" s="1"/>
      <c r="C55" s="1"/>
      <c r="D55" s="2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ht="12.0" customHeight="1">
      <c r="A56" s="1"/>
      <c r="B56" s="1"/>
      <c r="C56" s="1"/>
      <c r="D56" s="2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2.0" customHeight="1">
      <c r="A57" s="1"/>
      <c r="B57" s="1"/>
      <c r="C57" s="1"/>
      <c r="D57" s="2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ht="12.0" customHeight="1">
      <c r="A58" s="1"/>
      <c r="B58" s="1"/>
      <c r="C58" s="1"/>
      <c r="D58" s="2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ht="12.0" customHeight="1">
      <c r="A59" s="1"/>
      <c r="B59" s="1"/>
      <c r="C59" s="1"/>
      <c r="D59" s="2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ht="12.0" customHeight="1">
      <c r="A60" s="1"/>
      <c r="B60" s="1"/>
      <c r="C60" s="1"/>
      <c r="D60" s="2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ht="12.0" customHeight="1">
      <c r="A61" s="1"/>
      <c r="B61" s="1"/>
      <c r="C61" s="1"/>
      <c r="D61" s="2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ht="12.0" customHeight="1">
      <c r="A62" s="1"/>
      <c r="B62" s="1"/>
      <c r="C62" s="1"/>
      <c r="D62" s="2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ht="12.0" customHeight="1">
      <c r="A63" s="1"/>
      <c r="B63" s="1"/>
      <c r="C63" s="1"/>
      <c r="D63" s="2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ht="12.0" customHeight="1">
      <c r="A64" s="1"/>
      <c r="B64" s="1"/>
      <c r="C64" s="1"/>
      <c r="D64" s="2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ht="12.0" customHeight="1">
      <c r="A65" s="1"/>
      <c r="B65" s="1"/>
      <c r="C65" s="1"/>
      <c r="D65" s="2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ht="12.0" customHeight="1">
      <c r="A66" s="1"/>
      <c r="B66" s="1"/>
      <c r="C66" s="1"/>
      <c r="D66" s="2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2.0" customHeight="1">
      <c r="A67" s="1"/>
      <c r="B67" s="1"/>
      <c r="C67" s="1"/>
      <c r="D67" s="2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ht="12.0" customHeight="1">
      <c r="A68" s="1"/>
      <c r="B68" s="1"/>
      <c r="C68" s="1"/>
      <c r="D68" s="2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ht="12.0" customHeight="1">
      <c r="A69" s="1"/>
      <c r="B69" s="1"/>
      <c r="C69" s="1"/>
      <c r="D69" s="2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ht="12.0" customHeight="1">
      <c r="A70" s="1"/>
      <c r="B70" s="1"/>
      <c r="C70" s="1"/>
      <c r="D70" s="2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ht="12.0" customHeight="1">
      <c r="A71" s="1"/>
      <c r="B71" s="1"/>
      <c r="C71" s="1"/>
      <c r="D71" s="2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ht="12.0" customHeight="1">
      <c r="A72" s="1"/>
      <c r="B72" s="1"/>
      <c r="C72" s="1"/>
      <c r="D72" s="2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ht="12.0" customHeight="1">
      <c r="A73" s="1"/>
      <c r="B73" s="1"/>
      <c r="C73" s="1"/>
      <c r="D73" s="2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ht="12.0" customHeight="1">
      <c r="A74" s="1"/>
      <c r="B74" s="1"/>
      <c r="C74" s="1"/>
      <c r="D74" s="2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ht="12.0" customHeight="1">
      <c r="A75" s="1"/>
      <c r="B75" s="1"/>
      <c r="C75" s="1"/>
      <c r="D75" s="2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ht="12.0" customHeight="1">
      <c r="A76" s="1"/>
      <c r="B76" s="1"/>
      <c r="C76" s="1"/>
      <c r="D76" s="2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ht="12.0" customHeight="1">
      <c r="A77" s="1"/>
      <c r="B77" s="1"/>
      <c r="C77" s="1"/>
      <c r="D77" s="2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2.0" customHeight="1">
      <c r="A78" s="1"/>
      <c r="B78" s="1"/>
      <c r="C78" s="1"/>
      <c r="D78" s="2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ht="12.0" customHeight="1">
      <c r="A79" s="1"/>
      <c r="B79" s="1"/>
      <c r="C79" s="1"/>
      <c r="D79" s="2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ht="12.0" customHeight="1">
      <c r="A80" s="1"/>
      <c r="B80" s="1"/>
      <c r="C80" s="1"/>
      <c r="D80" s="2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ht="12.0" customHeight="1">
      <c r="A81" s="1"/>
      <c r="B81" s="1"/>
      <c r="C81" s="1"/>
      <c r="D81" s="2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ht="12.0" customHeight="1">
      <c r="A82" s="1"/>
      <c r="B82" s="1"/>
      <c r="C82" s="1"/>
      <c r="D82" s="2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ht="12.0" customHeight="1">
      <c r="A83" s="1"/>
      <c r="B83" s="1"/>
      <c r="C83" s="1"/>
      <c r="D83" s="2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ht="12.0" customHeight="1">
      <c r="A84" s="1"/>
      <c r="B84" s="1"/>
      <c r="C84" s="1"/>
      <c r="D84" s="2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ht="12.0" customHeight="1">
      <c r="A85" s="1"/>
      <c r="B85" s="1"/>
      <c r="C85" s="1"/>
      <c r="D85" s="2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ht="12.0" customHeight="1">
      <c r="A86" s="1"/>
      <c r="B86" s="1"/>
      <c r="C86" s="1"/>
      <c r="D86" s="2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ht="12.0" customHeight="1">
      <c r="A87" s="1"/>
      <c r="B87" s="1"/>
      <c r="C87" s="1"/>
      <c r="D87" s="2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ht="12.0" customHeight="1">
      <c r="A88" s="1"/>
      <c r="B88" s="1"/>
      <c r="C88" s="1"/>
      <c r="D88" s="2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ht="12.0" customHeight="1">
      <c r="A89" s="1"/>
      <c r="B89" s="1"/>
      <c r="C89" s="1"/>
      <c r="D89" s="2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ht="12.0" customHeight="1">
      <c r="A90" s="1"/>
      <c r="B90" s="1"/>
      <c r="C90" s="1"/>
      <c r="D90" s="2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ht="12.0" customHeight="1">
      <c r="A91" s="1"/>
      <c r="B91" s="1"/>
      <c r="C91" s="1"/>
      <c r="D91" s="2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ht="12.0" customHeight="1">
      <c r="A92" s="1"/>
      <c r="B92" s="1"/>
      <c r="C92" s="1"/>
      <c r="D92" s="2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ht="12.0" customHeight="1">
      <c r="A93" s="1"/>
      <c r="B93" s="1"/>
      <c r="C93" s="1"/>
      <c r="D93" s="2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ht="12.0" customHeight="1">
      <c r="A94" s="1"/>
      <c r="B94" s="1"/>
      <c r="C94" s="1"/>
      <c r="D94" s="2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ht="12.0" customHeight="1">
      <c r="A95" s="1"/>
      <c r="B95" s="1"/>
      <c r="C95" s="1"/>
      <c r="D95" s="2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ht="12.0" customHeight="1">
      <c r="A96" s="1"/>
      <c r="B96" s="1"/>
      <c r="C96" s="1"/>
      <c r="D96" s="2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ht="12.0" customHeight="1">
      <c r="A97" s="1"/>
      <c r="B97" s="1"/>
      <c r="C97" s="1"/>
      <c r="D97" s="2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ht="12.0" customHeight="1">
      <c r="A98" s="1"/>
      <c r="B98" s="1"/>
      <c r="C98" s="1"/>
      <c r="D98" s="2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ht="12.0" customHeight="1">
      <c r="A99" s="1"/>
      <c r="B99" s="1"/>
      <c r="C99" s="1"/>
      <c r="D99" s="2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ht="12.0" customHeight="1">
      <c r="A100" s="1"/>
      <c r="B100" s="1"/>
      <c r="C100" s="1"/>
      <c r="D100" s="2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ht="12.0" customHeight="1">
      <c r="A101" s="1"/>
      <c r="B101" s="1"/>
      <c r="C101" s="1"/>
      <c r="D101" s="2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ht="12.0" customHeight="1">
      <c r="A102" s="1"/>
      <c r="B102" s="1"/>
      <c r="C102" s="1"/>
      <c r="D102" s="2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ht="12.0" customHeight="1">
      <c r="A103" s="1"/>
      <c r="B103" s="1"/>
      <c r="C103" s="1"/>
      <c r="D103" s="2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ht="12.0" customHeight="1">
      <c r="A104" s="1"/>
      <c r="B104" s="1"/>
      <c r="C104" s="1"/>
      <c r="D104" s="2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ht="12.0" customHeight="1">
      <c r="A105" s="1"/>
      <c r="B105" s="1"/>
      <c r="C105" s="1"/>
      <c r="D105" s="2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ht="12.0" customHeight="1">
      <c r="A106" s="1"/>
      <c r="B106" s="1"/>
      <c r="C106" s="1"/>
      <c r="D106" s="2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ht="12.0" customHeight="1">
      <c r="A107" s="1"/>
      <c r="B107" s="1"/>
      <c r="C107" s="1"/>
      <c r="D107" s="2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ht="12.0" customHeight="1">
      <c r="A108" s="1"/>
      <c r="B108" s="1"/>
      <c r="C108" s="1"/>
      <c r="D108" s="2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ht="12.0" customHeight="1">
      <c r="A109" s="1"/>
      <c r="B109" s="1"/>
      <c r="C109" s="1"/>
      <c r="D109" s="2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ht="12.0" customHeight="1">
      <c r="A110" s="1"/>
      <c r="B110" s="1"/>
      <c r="C110" s="1"/>
      <c r="D110" s="2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ht="12.0" customHeight="1">
      <c r="A111" s="1"/>
      <c r="B111" s="1"/>
      <c r="C111" s="1"/>
      <c r="D111" s="2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ht="12.0" customHeight="1">
      <c r="A112" s="1"/>
      <c r="B112" s="1"/>
      <c r="C112" s="1"/>
      <c r="D112" s="2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ht="12.0" customHeight="1">
      <c r="A113" s="1"/>
      <c r="B113" s="1"/>
      <c r="C113" s="1"/>
      <c r="D113" s="2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ht="12.0" customHeight="1">
      <c r="A114" s="1"/>
      <c r="B114" s="1"/>
      <c r="C114" s="1"/>
      <c r="D114" s="2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ht="12.0" customHeight="1">
      <c r="A115" s="1"/>
      <c r="B115" s="1"/>
      <c r="C115" s="1"/>
      <c r="D115" s="2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ht="12.0" customHeight="1">
      <c r="A116" s="1"/>
      <c r="B116" s="1"/>
      <c r="C116" s="1"/>
      <c r="D116" s="2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ht="12.0" customHeight="1">
      <c r="A117" s="1"/>
      <c r="B117" s="1"/>
      <c r="C117" s="1"/>
      <c r="D117" s="2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ht="12.0" customHeight="1">
      <c r="A118" s="1"/>
      <c r="B118" s="1"/>
      <c r="C118" s="1"/>
      <c r="D118" s="2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ht="12.0" customHeight="1">
      <c r="A119" s="1"/>
      <c r="B119" s="1"/>
      <c r="C119" s="1"/>
      <c r="D119" s="2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ht="12.0" customHeight="1">
      <c r="A120" s="1"/>
      <c r="B120" s="1"/>
      <c r="C120" s="1"/>
      <c r="D120" s="2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ht="12.0" customHeight="1">
      <c r="A121" s="1"/>
      <c r="B121" s="1"/>
      <c r="C121" s="1"/>
      <c r="D121" s="2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ht="12.0" customHeight="1">
      <c r="A122" s="1"/>
      <c r="B122" s="1"/>
      <c r="C122" s="1"/>
      <c r="D122" s="2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ht="12.0" customHeight="1">
      <c r="A123" s="1"/>
      <c r="B123" s="1"/>
      <c r="C123" s="1"/>
      <c r="D123" s="2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ht="12.0" customHeight="1">
      <c r="A124" s="1"/>
      <c r="B124" s="1"/>
      <c r="C124" s="1"/>
      <c r="D124" s="2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ht="12.0" customHeight="1">
      <c r="A125" s="1"/>
      <c r="B125" s="1"/>
      <c r="C125" s="1"/>
      <c r="D125" s="2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ht="12.0" customHeight="1">
      <c r="A126" s="1"/>
      <c r="B126" s="1"/>
      <c r="C126" s="1"/>
      <c r="D126" s="2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ht="12.0" customHeight="1">
      <c r="A127" s="1"/>
      <c r="B127" s="1"/>
      <c r="C127" s="1"/>
      <c r="D127" s="2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ht="12.0" customHeight="1">
      <c r="A128" s="1"/>
      <c r="B128" s="1"/>
      <c r="C128" s="1"/>
      <c r="D128" s="2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ht="12.0" customHeight="1">
      <c r="A129" s="1"/>
      <c r="B129" s="1"/>
      <c r="C129" s="1"/>
      <c r="D129" s="2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ht="12.0" customHeight="1">
      <c r="A130" s="1"/>
      <c r="B130" s="1"/>
      <c r="C130" s="1"/>
      <c r="D130" s="2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ht="12.0" customHeight="1">
      <c r="A131" s="1"/>
      <c r="B131" s="1"/>
      <c r="C131" s="1"/>
      <c r="D131" s="2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ht="12.0" customHeight="1">
      <c r="A132" s="1"/>
      <c r="B132" s="1"/>
      <c r="C132" s="1"/>
      <c r="D132" s="2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ht="12.0" customHeight="1">
      <c r="A133" s="1"/>
      <c r="B133" s="1"/>
      <c r="C133" s="1"/>
      <c r="D133" s="2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ht="12.0" customHeight="1">
      <c r="A134" s="1"/>
      <c r="B134" s="1"/>
      <c r="C134" s="1"/>
      <c r="D134" s="2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ht="12.0" customHeight="1">
      <c r="A135" s="1"/>
      <c r="B135" s="1"/>
      <c r="C135" s="1"/>
      <c r="D135" s="2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ht="12.0" customHeight="1">
      <c r="A136" s="1"/>
      <c r="B136" s="1"/>
      <c r="C136" s="1"/>
      <c r="D136" s="2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ht="12.0" customHeight="1">
      <c r="A137" s="1"/>
      <c r="B137" s="1"/>
      <c r="C137" s="1"/>
      <c r="D137" s="2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ht="12.0" customHeight="1">
      <c r="A138" s="1"/>
      <c r="B138" s="1"/>
      <c r="C138" s="1"/>
      <c r="D138" s="2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ht="12.0" customHeight="1">
      <c r="A139" s="1"/>
      <c r="B139" s="1"/>
      <c r="C139" s="1"/>
      <c r="D139" s="2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ht="12.0" customHeight="1">
      <c r="A140" s="1"/>
      <c r="B140" s="1"/>
      <c r="C140" s="1"/>
      <c r="D140" s="2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ht="12.0" customHeight="1">
      <c r="A141" s="1"/>
      <c r="B141" s="1"/>
      <c r="C141" s="1"/>
      <c r="D141" s="2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ht="12.0" customHeight="1">
      <c r="A142" s="1"/>
      <c r="B142" s="1"/>
      <c r="C142" s="1"/>
      <c r="D142" s="2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ht="12.0" customHeight="1">
      <c r="A143" s="1"/>
      <c r="B143" s="1"/>
      <c r="C143" s="1"/>
      <c r="D143" s="2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ht="12.0" customHeight="1">
      <c r="A144" s="1"/>
      <c r="B144" s="1"/>
      <c r="C144" s="1"/>
      <c r="D144" s="2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ht="12.0" customHeight="1">
      <c r="A145" s="1"/>
      <c r="B145" s="1"/>
      <c r="C145" s="1"/>
      <c r="D145" s="2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ht="12.0" customHeight="1">
      <c r="A146" s="1"/>
      <c r="B146" s="1"/>
      <c r="C146" s="1"/>
      <c r="D146" s="2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ht="12.0" customHeight="1">
      <c r="A147" s="1"/>
      <c r="B147" s="1"/>
      <c r="C147" s="1"/>
      <c r="D147" s="2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ht="12.0" customHeight="1">
      <c r="A148" s="1"/>
      <c r="B148" s="1"/>
      <c r="C148" s="1"/>
      <c r="D148" s="2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ht="12.0" customHeight="1">
      <c r="A149" s="1"/>
      <c r="B149" s="1"/>
      <c r="C149" s="1"/>
      <c r="D149" s="2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ht="12.0" customHeight="1">
      <c r="A150" s="1"/>
      <c r="B150" s="1"/>
      <c r="C150" s="1"/>
      <c r="D150" s="2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ht="12.0" customHeight="1">
      <c r="A151" s="1"/>
      <c r="B151" s="1"/>
      <c r="C151" s="1"/>
      <c r="D151" s="2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ht="12.0" customHeight="1">
      <c r="A152" s="1"/>
      <c r="B152" s="1"/>
      <c r="C152" s="1"/>
      <c r="D152" s="2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ht="12.0" customHeight="1">
      <c r="A153" s="1"/>
      <c r="B153" s="1"/>
      <c r="C153" s="1"/>
      <c r="D153" s="2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ht="12.0" customHeight="1">
      <c r="A154" s="1"/>
      <c r="B154" s="1"/>
      <c r="C154" s="1"/>
      <c r="D154" s="2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ht="12.0" customHeight="1">
      <c r="A155" s="1"/>
      <c r="B155" s="1"/>
      <c r="C155" s="1"/>
      <c r="D155" s="2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ht="12.0" customHeight="1">
      <c r="A156" s="1"/>
      <c r="B156" s="1"/>
      <c r="C156" s="1"/>
      <c r="D156" s="2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ht="12.0" customHeight="1">
      <c r="A157" s="1"/>
      <c r="B157" s="1"/>
      <c r="C157" s="1"/>
      <c r="D157" s="2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ht="12.0" customHeight="1">
      <c r="A158" s="1"/>
      <c r="B158" s="1"/>
      <c r="C158" s="1"/>
      <c r="D158" s="2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ht="12.0" customHeight="1">
      <c r="A159" s="1"/>
      <c r="B159" s="1"/>
      <c r="C159" s="1"/>
      <c r="D159" s="2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ht="12.0" customHeight="1">
      <c r="A160" s="1"/>
      <c r="B160" s="1"/>
      <c r="C160" s="1"/>
      <c r="D160" s="2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ht="12.0" customHeight="1">
      <c r="A161" s="1"/>
      <c r="B161" s="1"/>
      <c r="C161" s="1"/>
      <c r="D161" s="2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ht="12.0" customHeight="1">
      <c r="A162" s="1"/>
      <c r="B162" s="1"/>
      <c r="C162" s="1"/>
      <c r="D162" s="2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ht="12.0" customHeight="1">
      <c r="A163" s="1"/>
      <c r="B163" s="1"/>
      <c r="C163" s="1"/>
      <c r="D163" s="2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ht="12.0" customHeight="1">
      <c r="A164" s="1"/>
      <c r="B164" s="1"/>
      <c r="C164" s="1"/>
      <c r="D164" s="2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ht="12.0" customHeight="1">
      <c r="A165" s="1"/>
      <c r="B165" s="1"/>
      <c r="C165" s="1"/>
      <c r="D165" s="2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ht="12.0" customHeight="1">
      <c r="A166" s="1"/>
      <c r="B166" s="1"/>
      <c r="C166" s="1"/>
      <c r="D166" s="2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ht="12.0" customHeight="1">
      <c r="A167" s="1"/>
      <c r="B167" s="1"/>
      <c r="C167" s="1"/>
      <c r="D167" s="2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ht="12.0" customHeight="1">
      <c r="A168" s="1"/>
      <c r="B168" s="1"/>
      <c r="C168" s="1"/>
      <c r="D168" s="2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ht="12.0" customHeight="1">
      <c r="A169" s="1"/>
      <c r="B169" s="1"/>
      <c r="C169" s="1"/>
      <c r="D169" s="2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ht="12.0" customHeight="1">
      <c r="A170" s="1"/>
      <c r="B170" s="1"/>
      <c r="C170" s="1"/>
      <c r="D170" s="2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ht="12.0" customHeight="1">
      <c r="A171" s="1"/>
      <c r="B171" s="1"/>
      <c r="C171" s="1"/>
      <c r="D171" s="2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ht="12.0" customHeight="1">
      <c r="A172" s="1"/>
      <c r="B172" s="1"/>
      <c r="C172" s="1"/>
      <c r="D172" s="2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ht="12.0" customHeight="1">
      <c r="A173" s="1"/>
      <c r="B173" s="1"/>
      <c r="C173" s="1"/>
      <c r="D173" s="2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ht="12.0" customHeight="1">
      <c r="A174" s="1"/>
      <c r="B174" s="1"/>
      <c r="C174" s="1"/>
      <c r="D174" s="2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ht="12.0" customHeight="1">
      <c r="A175" s="1"/>
      <c r="B175" s="1"/>
      <c r="C175" s="1"/>
      <c r="D175" s="2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ht="12.0" customHeight="1">
      <c r="A176" s="1"/>
      <c r="B176" s="1"/>
      <c r="C176" s="1"/>
      <c r="D176" s="2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ht="12.0" customHeight="1">
      <c r="A177" s="1"/>
      <c r="B177" s="1"/>
      <c r="C177" s="1"/>
      <c r="D177" s="2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ht="12.0" customHeight="1">
      <c r="A178" s="1"/>
      <c r="B178" s="1"/>
      <c r="C178" s="1"/>
      <c r="D178" s="2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ht="12.0" customHeight="1">
      <c r="A179" s="1"/>
      <c r="B179" s="1"/>
      <c r="C179" s="1"/>
      <c r="D179" s="2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ht="12.0" customHeight="1">
      <c r="A180" s="1"/>
      <c r="B180" s="1"/>
      <c r="C180" s="1"/>
      <c r="D180" s="2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ht="12.0" customHeight="1">
      <c r="A181" s="1"/>
      <c r="B181" s="1"/>
      <c r="C181" s="1"/>
      <c r="D181" s="2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ht="12.0" customHeight="1">
      <c r="A182" s="1"/>
      <c r="B182" s="1"/>
      <c r="C182" s="1"/>
      <c r="D182" s="2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ht="12.0" customHeight="1">
      <c r="A183" s="1"/>
      <c r="B183" s="1"/>
      <c r="C183" s="1"/>
      <c r="D183" s="2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ht="12.0" customHeight="1">
      <c r="A184" s="1"/>
      <c r="B184" s="1"/>
      <c r="C184" s="1"/>
      <c r="D184" s="2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ht="12.0" customHeight="1">
      <c r="A185" s="1"/>
      <c r="B185" s="1"/>
      <c r="C185" s="1"/>
      <c r="D185" s="2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ht="12.0" customHeight="1">
      <c r="A186" s="1"/>
      <c r="B186" s="1"/>
      <c r="C186" s="1"/>
      <c r="D186" s="2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ht="12.0" customHeight="1">
      <c r="A187" s="1"/>
      <c r="B187" s="1"/>
      <c r="C187" s="1"/>
      <c r="D187" s="2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ht="12.0" customHeight="1">
      <c r="A188" s="1"/>
      <c r="B188" s="1"/>
      <c r="C188" s="1"/>
      <c r="D188" s="2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ht="12.0" customHeight="1">
      <c r="A189" s="1"/>
      <c r="B189" s="1"/>
      <c r="C189" s="1"/>
      <c r="D189" s="2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ht="12.0" customHeight="1">
      <c r="A190" s="1"/>
      <c r="B190" s="1"/>
      <c r="C190" s="1"/>
      <c r="D190" s="2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ht="12.0" customHeight="1">
      <c r="A191" s="1"/>
      <c r="B191" s="1"/>
      <c r="C191" s="1"/>
      <c r="D191" s="2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ht="12.0" customHeight="1">
      <c r="A192" s="1"/>
      <c r="B192" s="1"/>
      <c r="C192" s="1"/>
      <c r="D192" s="2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ht="12.0" customHeight="1">
      <c r="A193" s="1"/>
      <c r="B193" s="1"/>
      <c r="C193" s="1"/>
      <c r="D193" s="2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ht="12.0" customHeight="1">
      <c r="A194" s="1"/>
      <c r="B194" s="1"/>
      <c r="C194" s="1"/>
      <c r="D194" s="2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ht="12.0" customHeight="1">
      <c r="A195" s="1"/>
      <c r="B195" s="1"/>
      <c r="C195" s="1"/>
      <c r="D195" s="2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ht="12.0" customHeight="1">
      <c r="A196" s="1"/>
      <c r="B196" s="1"/>
      <c r="C196" s="1"/>
      <c r="D196" s="2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ht="12.0" customHeight="1">
      <c r="A197" s="1"/>
      <c r="B197" s="1"/>
      <c r="C197" s="1"/>
      <c r="D197" s="2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ht="12.0" customHeight="1">
      <c r="A198" s="1"/>
      <c r="B198" s="1"/>
      <c r="C198" s="1"/>
      <c r="D198" s="2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ht="12.0" customHeight="1">
      <c r="A199" s="1"/>
      <c r="B199" s="1"/>
      <c r="C199" s="1"/>
      <c r="D199" s="2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ht="12.0" customHeight="1">
      <c r="A200" s="1"/>
      <c r="B200" s="1"/>
      <c r="C200" s="1"/>
      <c r="D200" s="2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ht="12.0" customHeight="1">
      <c r="A201" s="1"/>
      <c r="B201" s="1"/>
      <c r="C201" s="1"/>
      <c r="D201" s="2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ht="12.0" customHeight="1">
      <c r="A202" s="1"/>
      <c r="B202" s="1"/>
      <c r="C202" s="1"/>
      <c r="D202" s="2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ht="12.0" customHeight="1">
      <c r="A203" s="1"/>
      <c r="B203" s="1"/>
      <c r="C203" s="1"/>
      <c r="D203" s="2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ht="12.0" customHeight="1">
      <c r="A204" s="1"/>
      <c r="B204" s="1"/>
      <c r="C204" s="1"/>
      <c r="D204" s="2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ht="12.0" customHeight="1">
      <c r="A205" s="1"/>
      <c r="B205" s="1"/>
      <c r="C205" s="1"/>
      <c r="D205" s="2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ht="12.0" customHeight="1">
      <c r="A206" s="1"/>
      <c r="B206" s="1"/>
      <c r="C206" s="1"/>
      <c r="D206" s="2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ht="12.0" customHeight="1">
      <c r="A207" s="1"/>
      <c r="B207" s="1"/>
      <c r="C207" s="1"/>
      <c r="D207" s="2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ht="12.0" customHeight="1">
      <c r="A208" s="1"/>
      <c r="B208" s="1"/>
      <c r="C208" s="1"/>
      <c r="D208" s="2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ht="12.0" customHeight="1">
      <c r="A209" s="1"/>
      <c r="B209" s="1"/>
      <c r="C209" s="1"/>
      <c r="D209" s="2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ht="12.0" customHeight="1">
      <c r="A210" s="1"/>
      <c r="B210" s="1"/>
      <c r="C210" s="1"/>
      <c r="D210" s="2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ht="12.0" customHeight="1">
      <c r="A211" s="1"/>
      <c r="B211" s="1"/>
      <c r="C211" s="1"/>
      <c r="D211" s="2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ht="12.0" customHeight="1">
      <c r="A212" s="1"/>
      <c r="B212" s="1"/>
      <c r="C212" s="1"/>
      <c r="D212" s="2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ht="12.0" customHeight="1">
      <c r="A213" s="1"/>
      <c r="B213" s="1"/>
      <c r="C213" s="1"/>
      <c r="D213" s="2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ht="12.0" customHeight="1">
      <c r="A214" s="1"/>
      <c r="B214" s="1"/>
      <c r="C214" s="1"/>
      <c r="D214" s="2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ht="12.0" customHeight="1">
      <c r="A215" s="1"/>
      <c r="B215" s="1"/>
      <c r="C215" s="1"/>
      <c r="D215" s="2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ht="12.0" customHeight="1">
      <c r="A216" s="1"/>
      <c r="B216" s="1"/>
      <c r="C216" s="1"/>
      <c r="D216" s="2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ht="12.0" customHeight="1">
      <c r="A217" s="1"/>
      <c r="B217" s="1"/>
      <c r="C217" s="1"/>
      <c r="D217" s="2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ht="12.0" customHeight="1">
      <c r="A218" s="1"/>
      <c r="B218" s="1"/>
      <c r="C218" s="1"/>
      <c r="D218" s="2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ht="12.0" customHeight="1">
      <c r="A219" s="1"/>
      <c r="B219" s="1"/>
      <c r="C219" s="1"/>
      <c r="D219" s="2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ht="12.0" customHeight="1">
      <c r="A220" s="1"/>
      <c r="B220" s="1"/>
      <c r="C220" s="1"/>
      <c r="D220" s="2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ht="12.0" customHeight="1">
      <c r="A221" s="1"/>
      <c r="B221" s="1"/>
      <c r="C221" s="1"/>
      <c r="D221" s="2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ht="12.0" customHeight="1">
      <c r="A222" s="1"/>
      <c r="B222" s="1"/>
      <c r="C222" s="1"/>
      <c r="D222" s="2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ht="12.0" customHeight="1">
      <c r="A223" s="1"/>
      <c r="B223" s="1"/>
      <c r="C223" s="1"/>
      <c r="D223" s="2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ht="12.0" customHeight="1">
      <c r="A224" s="1"/>
      <c r="B224" s="1"/>
      <c r="C224" s="1"/>
      <c r="D224" s="2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ht="12.0" customHeight="1">
      <c r="A225" s="1"/>
      <c r="B225" s="1"/>
      <c r="C225" s="1"/>
      <c r="D225" s="2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ht="12.0" customHeight="1">
      <c r="A226" s="1"/>
      <c r="B226" s="1"/>
      <c r="C226" s="1"/>
      <c r="D226" s="2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ht="12.0" customHeight="1">
      <c r="A227" s="1"/>
      <c r="B227" s="1"/>
      <c r="C227" s="1"/>
      <c r="D227" s="2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ht="12.0" customHeight="1">
      <c r="A228" s="1"/>
      <c r="B228" s="1"/>
      <c r="C228" s="1"/>
      <c r="D228" s="2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ht="12.0" customHeight="1">
      <c r="A229" s="1"/>
      <c r="B229" s="1"/>
      <c r="C229" s="1"/>
      <c r="D229" s="2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ht="12.0" customHeight="1">
      <c r="A230" s="1"/>
      <c r="B230" s="1"/>
      <c r="C230" s="1"/>
      <c r="D230" s="2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ht="12.0" customHeight="1">
      <c r="A231" s="1"/>
      <c r="B231" s="1"/>
      <c r="C231" s="1"/>
      <c r="D231" s="2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ht="12.0" customHeight="1">
      <c r="A232" s="1"/>
      <c r="B232" s="1"/>
      <c r="C232" s="1"/>
      <c r="D232" s="2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ht="12.0" customHeight="1">
      <c r="A233" s="1"/>
      <c r="B233" s="1"/>
      <c r="C233" s="1"/>
      <c r="D233" s="2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ht="12.0" customHeight="1">
      <c r="A234" s="1"/>
      <c r="B234" s="1"/>
      <c r="C234" s="1"/>
      <c r="D234" s="2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ht="12.0" customHeight="1">
      <c r="A235" s="1"/>
      <c r="B235" s="1"/>
      <c r="C235" s="1"/>
      <c r="D235" s="2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ht="12.0" customHeight="1">
      <c r="A236" s="1"/>
      <c r="B236" s="1"/>
      <c r="C236" s="1"/>
      <c r="D236" s="2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ht="12.0" customHeight="1">
      <c r="A237" s="1"/>
      <c r="B237" s="1"/>
      <c r="C237" s="1"/>
      <c r="D237" s="2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ht="12.0" customHeight="1">
      <c r="A238" s="1"/>
      <c r="B238" s="1"/>
      <c r="C238" s="1"/>
      <c r="D238" s="2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ht="12.0" customHeight="1">
      <c r="A239" s="1"/>
      <c r="B239" s="1"/>
      <c r="C239" s="1"/>
      <c r="D239" s="2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ht="12.0" customHeight="1">
      <c r="A240" s="1"/>
      <c r="B240" s="1"/>
      <c r="C240" s="1"/>
      <c r="D240" s="2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ht="12.0" customHeight="1">
      <c r="A241" s="1"/>
      <c r="B241" s="1"/>
      <c r="C241" s="1"/>
      <c r="D241" s="2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ht="12.0" customHeight="1">
      <c r="A242" s="1"/>
      <c r="B242" s="1"/>
      <c r="C242" s="1"/>
      <c r="D242" s="2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ht="12.0" customHeight="1">
      <c r="A243" s="1"/>
      <c r="B243" s="1"/>
      <c r="C243" s="1"/>
      <c r="D243" s="2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ht="12.0" customHeight="1">
      <c r="A244" s="1"/>
      <c r="B244" s="1"/>
      <c r="C244" s="1"/>
      <c r="D244" s="2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ht="12.0" customHeight="1">
      <c r="A245" s="1"/>
      <c r="B245" s="1"/>
      <c r="C245" s="1"/>
      <c r="D245" s="2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ht="12.0" customHeight="1">
      <c r="A246" s="1"/>
      <c r="B246" s="1"/>
      <c r="C246" s="1"/>
      <c r="D246" s="2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ht="12.0" customHeight="1">
      <c r="A247" s="1"/>
      <c r="B247" s="1"/>
      <c r="C247" s="1"/>
      <c r="D247" s="2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ht="12.0" customHeight="1">
      <c r="A248" s="1"/>
      <c r="B248" s="1"/>
      <c r="C248" s="1"/>
      <c r="D248" s="2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ht="12.0" customHeight="1">
      <c r="A249" s="1"/>
      <c r="B249" s="1"/>
      <c r="C249" s="1"/>
      <c r="D249" s="2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ht="12.0" customHeight="1">
      <c r="A250" s="1"/>
      <c r="B250" s="1"/>
      <c r="C250" s="1"/>
      <c r="D250" s="2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ht="12.0" customHeight="1">
      <c r="A251" s="1"/>
      <c r="B251" s="1"/>
      <c r="C251" s="1"/>
      <c r="D251" s="2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ht="12.0" customHeight="1">
      <c r="A252" s="1"/>
      <c r="B252" s="1"/>
      <c r="C252" s="1"/>
      <c r="D252" s="2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ht="12.0" customHeight="1">
      <c r="A253" s="1"/>
      <c r="B253" s="1"/>
      <c r="C253" s="1"/>
      <c r="D253" s="2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ht="12.0" customHeight="1">
      <c r="A254" s="1"/>
      <c r="B254" s="1"/>
      <c r="C254" s="1"/>
      <c r="D254" s="2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ht="12.0" customHeight="1">
      <c r="A255" s="1"/>
      <c r="B255" s="1"/>
      <c r="C255" s="1"/>
      <c r="D255" s="2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ht="12.0" customHeight="1">
      <c r="A256" s="1"/>
      <c r="B256" s="1"/>
      <c r="C256" s="1"/>
      <c r="D256" s="2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ht="12.0" customHeight="1">
      <c r="A257" s="1"/>
      <c r="B257" s="1"/>
      <c r="C257" s="1"/>
      <c r="D257" s="2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ht="12.0" customHeight="1">
      <c r="A258" s="1"/>
      <c r="B258" s="1"/>
      <c r="C258" s="1"/>
      <c r="D258" s="2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ht="12.0" customHeight="1">
      <c r="A259" s="1"/>
      <c r="B259" s="1"/>
      <c r="C259" s="1"/>
      <c r="D259" s="2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ht="12.0" customHeight="1">
      <c r="A260" s="1"/>
      <c r="B260" s="1"/>
      <c r="C260" s="1"/>
      <c r="D260" s="2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ht="12.0" customHeight="1">
      <c r="A261" s="1"/>
      <c r="B261" s="1"/>
      <c r="C261" s="1"/>
      <c r="D261" s="2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ht="12.0" customHeight="1">
      <c r="A262" s="1"/>
      <c r="B262" s="1"/>
      <c r="C262" s="1"/>
      <c r="D262" s="2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ht="12.0" customHeight="1">
      <c r="A263" s="1"/>
      <c r="B263" s="1"/>
      <c r="C263" s="1"/>
      <c r="D263" s="2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ht="12.0" customHeight="1">
      <c r="A264" s="1"/>
      <c r="B264" s="1"/>
      <c r="C264" s="1"/>
      <c r="D264" s="2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ht="12.0" customHeight="1">
      <c r="A265" s="1"/>
      <c r="B265" s="1"/>
      <c r="C265" s="1"/>
      <c r="D265" s="2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ht="12.0" customHeight="1">
      <c r="A266" s="1"/>
      <c r="B266" s="1"/>
      <c r="C266" s="1"/>
      <c r="D266" s="2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ht="12.0" customHeight="1">
      <c r="A267" s="1"/>
      <c r="B267" s="1"/>
      <c r="C267" s="1"/>
      <c r="D267" s="2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ht="12.0" customHeight="1">
      <c r="A268" s="1"/>
      <c r="B268" s="1"/>
      <c r="C268" s="1"/>
      <c r="D268" s="2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ht="12.0" customHeight="1">
      <c r="A269" s="1"/>
      <c r="B269" s="1"/>
      <c r="C269" s="1"/>
      <c r="D269" s="2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ht="12.0" customHeight="1">
      <c r="A270" s="1"/>
      <c r="B270" s="1"/>
      <c r="C270" s="1"/>
      <c r="D270" s="2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ht="12.0" customHeight="1">
      <c r="A271" s="1"/>
      <c r="B271" s="1"/>
      <c r="C271" s="1"/>
      <c r="D271" s="2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ht="12.0" customHeight="1">
      <c r="A272" s="1"/>
      <c r="B272" s="1"/>
      <c r="C272" s="1"/>
      <c r="D272" s="2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ht="12.0" customHeight="1">
      <c r="A273" s="1"/>
      <c r="B273" s="1"/>
      <c r="C273" s="1"/>
      <c r="D273" s="2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ht="12.0" customHeight="1">
      <c r="A274" s="1"/>
      <c r="B274" s="1"/>
      <c r="C274" s="1"/>
      <c r="D274" s="2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ht="12.0" customHeight="1">
      <c r="A275" s="1"/>
      <c r="B275" s="1"/>
      <c r="C275" s="1"/>
      <c r="D275" s="2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ht="12.0" customHeight="1">
      <c r="A276" s="1"/>
      <c r="B276" s="1"/>
      <c r="C276" s="1"/>
      <c r="D276" s="2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ht="12.0" customHeight="1">
      <c r="A277" s="1"/>
      <c r="B277" s="1"/>
      <c r="C277" s="1"/>
      <c r="D277" s="2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ht="12.0" customHeight="1">
      <c r="A278" s="1"/>
      <c r="B278" s="1"/>
      <c r="C278" s="1"/>
      <c r="D278" s="2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ht="12.0" customHeight="1">
      <c r="A279" s="1"/>
      <c r="B279" s="1"/>
      <c r="C279" s="1"/>
      <c r="D279" s="2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ht="12.0" customHeight="1">
      <c r="A280" s="1"/>
      <c r="B280" s="1"/>
      <c r="C280" s="1"/>
      <c r="D280" s="2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ht="12.0" customHeight="1">
      <c r="A281" s="1"/>
      <c r="B281" s="1"/>
      <c r="C281" s="1"/>
      <c r="D281" s="2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ht="12.0" customHeight="1">
      <c r="A282" s="1"/>
      <c r="B282" s="1"/>
      <c r="C282" s="1"/>
      <c r="D282" s="2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ht="12.0" customHeight="1">
      <c r="A283" s="1"/>
      <c r="B283" s="1"/>
      <c r="C283" s="1"/>
      <c r="D283" s="2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ht="12.0" customHeight="1">
      <c r="A284" s="1"/>
      <c r="B284" s="1"/>
      <c r="C284" s="1"/>
      <c r="D284" s="2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ht="12.0" customHeight="1">
      <c r="A285" s="1"/>
      <c r="B285" s="1"/>
      <c r="C285" s="1"/>
      <c r="D285" s="2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ht="12.0" customHeight="1">
      <c r="A286" s="1"/>
      <c r="B286" s="1"/>
      <c r="C286" s="1"/>
      <c r="D286" s="2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ht="12.0" customHeight="1">
      <c r="A287" s="1"/>
      <c r="B287" s="1"/>
      <c r="C287" s="1"/>
      <c r="D287" s="2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ht="12.0" customHeight="1">
      <c r="A288" s="1"/>
      <c r="B288" s="1"/>
      <c r="C288" s="1"/>
      <c r="D288" s="2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ht="12.0" customHeight="1">
      <c r="A289" s="1"/>
      <c r="B289" s="1"/>
      <c r="C289" s="1"/>
      <c r="D289" s="2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ht="12.0" customHeight="1">
      <c r="A290" s="1"/>
      <c r="B290" s="1"/>
      <c r="C290" s="1"/>
      <c r="D290" s="2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ht="12.0" customHeight="1">
      <c r="A291" s="1"/>
      <c r="B291" s="1"/>
      <c r="C291" s="1"/>
      <c r="D291" s="2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ht="12.0" customHeight="1">
      <c r="A292" s="1"/>
      <c r="B292" s="1"/>
      <c r="C292" s="1"/>
      <c r="D292" s="2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ht="12.0" customHeight="1">
      <c r="A293" s="1"/>
      <c r="B293" s="1"/>
      <c r="C293" s="1"/>
      <c r="D293" s="2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ht="12.0" customHeight="1">
      <c r="A294" s="1"/>
      <c r="B294" s="1"/>
      <c r="C294" s="1"/>
      <c r="D294" s="2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ht="12.0" customHeight="1">
      <c r="A295" s="1"/>
      <c r="B295" s="1"/>
      <c r="C295" s="1"/>
      <c r="D295" s="2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ht="12.0" customHeight="1">
      <c r="A296" s="1"/>
      <c r="B296" s="1"/>
      <c r="C296" s="1"/>
      <c r="D296" s="2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ht="12.0" customHeight="1">
      <c r="A297" s="1"/>
      <c r="B297" s="1"/>
      <c r="C297" s="1"/>
      <c r="D297" s="2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ht="12.0" customHeight="1">
      <c r="A298" s="1"/>
      <c r="B298" s="1"/>
      <c r="C298" s="1"/>
      <c r="D298" s="2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ht="12.0" customHeight="1">
      <c r="A299" s="1"/>
      <c r="B299" s="1"/>
      <c r="C299" s="1"/>
      <c r="D299" s="2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ht="12.0" customHeight="1">
      <c r="A300" s="1"/>
      <c r="B300" s="1"/>
      <c r="C300" s="1"/>
      <c r="D300" s="2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ht="12.0" customHeight="1">
      <c r="A301" s="1"/>
      <c r="B301" s="1"/>
      <c r="C301" s="1"/>
      <c r="D301" s="2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ht="12.0" customHeight="1">
      <c r="A302" s="1"/>
      <c r="B302" s="1"/>
      <c r="C302" s="1"/>
      <c r="D302" s="2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ht="12.0" customHeight="1">
      <c r="A303" s="1"/>
      <c r="B303" s="1"/>
      <c r="C303" s="1"/>
      <c r="D303" s="2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ht="12.0" customHeight="1">
      <c r="A304" s="1"/>
      <c r="B304" s="1"/>
      <c r="C304" s="1"/>
      <c r="D304" s="2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ht="12.0" customHeight="1">
      <c r="A305" s="1"/>
      <c r="B305" s="1"/>
      <c r="C305" s="1"/>
      <c r="D305" s="2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ht="12.0" customHeight="1">
      <c r="A306" s="1"/>
      <c r="B306" s="1"/>
      <c r="C306" s="1"/>
      <c r="D306" s="2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ht="12.0" customHeight="1">
      <c r="A307" s="1"/>
      <c r="B307" s="1"/>
      <c r="C307" s="1"/>
      <c r="D307" s="2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ht="12.0" customHeight="1">
      <c r="A308" s="1"/>
      <c r="B308" s="1"/>
      <c r="C308" s="1"/>
      <c r="D308" s="2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ht="12.0" customHeight="1">
      <c r="A309" s="1"/>
      <c r="B309" s="1"/>
      <c r="C309" s="1"/>
      <c r="D309" s="2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ht="12.0" customHeight="1">
      <c r="A310" s="1"/>
      <c r="B310" s="1"/>
      <c r="C310" s="1"/>
      <c r="D310" s="2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ht="12.0" customHeight="1">
      <c r="A311" s="1"/>
      <c r="B311" s="1"/>
      <c r="C311" s="1"/>
      <c r="D311" s="2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ht="12.0" customHeight="1">
      <c r="A312" s="1"/>
      <c r="B312" s="1"/>
      <c r="C312" s="1"/>
      <c r="D312" s="2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ht="12.0" customHeight="1">
      <c r="A313" s="1"/>
      <c r="B313" s="1"/>
      <c r="C313" s="1"/>
      <c r="D313" s="2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ht="12.0" customHeight="1">
      <c r="A314" s="1"/>
      <c r="B314" s="1"/>
      <c r="C314" s="1"/>
      <c r="D314" s="2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ht="12.0" customHeight="1">
      <c r="A315" s="1"/>
      <c r="B315" s="1"/>
      <c r="C315" s="1"/>
      <c r="D315" s="2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ht="12.0" customHeight="1">
      <c r="A316" s="1"/>
      <c r="B316" s="1"/>
      <c r="C316" s="1"/>
      <c r="D316" s="2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ht="12.0" customHeight="1">
      <c r="A317" s="1"/>
      <c r="B317" s="1"/>
      <c r="C317" s="1"/>
      <c r="D317" s="2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ht="12.0" customHeight="1">
      <c r="A318" s="1"/>
      <c r="B318" s="1"/>
      <c r="C318" s="1"/>
      <c r="D318" s="2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ht="12.0" customHeight="1">
      <c r="A319" s="1"/>
      <c r="B319" s="1"/>
      <c r="C319" s="1"/>
      <c r="D319" s="2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ht="12.0" customHeight="1">
      <c r="A320" s="1"/>
      <c r="B320" s="1"/>
      <c r="C320" s="1"/>
      <c r="D320" s="2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ht="12.0" customHeight="1">
      <c r="A321" s="1"/>
      <c r="B321" s="1"/>
      <c r="C321" s="1"/>
      <c r="D321" s="2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ht="12.0" customHeight="1">
      <c r="A322" s="1"/>
      <c r="B322" s="1"/>
      <c r="C322" s="1"/>
      <c r="D322" s="2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ht="12.0" customHeight="1">
      <c r="A323" s="1"/>
      <c r="B323" s="1"/>
      <c r="C323" s="1"/>
      <c r="D323" s="2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ht="12.0" customHeight="1">
      <c r="A324" s="1"/>
      <c r="B324" s="1"/>
      <c r="C324" s="1"/>
      <c r="D324" s="2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ht="12.0" customHeight="1">
      <c r="A325" s="1"/>
      <c r="B325" s="1"/>
      <c r="C325" s="1"/>
      <c r="D325" s="2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ht="12.0" customHeight="1">
      <c r="A326" s="1"/>
      <c r="B326" s="1"/>
      <c r="C326" s="1"/>
      <c r="D326" s="2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ht="12.0" customHeight="1">
      <c r="A327" s="1"/>
      <c r="B327" s="1"/>
      <c r="C327" s="1"/>
      <c r="D327" s="2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ht="12.0" customHeight="1">
      <c r="A328" s="1"/>
      <c r="B328" s="1"/>
      <c r="C328" s="1"/>
      <c r="D328" s="2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ht="12.0" customHeight="1">
      <c r="A329" s="1"/>
      <c r="B329" s="1"/>
      <c r="C329" s="1"/>
      <c r="D329" s="2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ht="12.0" customHeight="1">
      <c r="A330" s="1"/>
      <c r="B330" s="1"/>
      <c r="C330" s="1"/>
      <c r="D330" s="2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ht="12.0" customHeight="1">
      <c r="A331" s="1"/>
      <c r="B331" s="1"/>
      <c r="C331" s="1"/>
      <c r="D331" s="2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ht="12.0" customHeight="1">
      <c r="A332" s="1"/>
      <c r="B332" s="1"/>
      <c r="C332" s="1"/>
      <c r="D332" s="2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ht="12.0" customHeight="1">
      <c r="A333" s="1"/>
      <c r="B333" s="1"/>
      <c r="C333" s="1"/>
      <c r="D333" s="2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ht="12.0" customHeight="1">
      <c r="A334" s="1"/>
      <c r="B334" s="1"/>
      <c r="C334" s="1"/>
      <c r="D334" s="2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ht="12.0" customHeight="1">
      <c r="A335" s="1"/>
      <c r="B335" s="1"/>
      <c r="C335" s="1"/>
      <c r="D335" s="2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ht="12.0" customHeight="1">
      <c r="A336" s="1"/>
      <c r="B336" s="1"/>
      <c r="C336" s="1"/>
      <c r="D336" s="2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ht="12.0" customHeight="1">
      <c r="A337" s="1"/>
      <c r="B337" s="1"/>
      <c r="C337" s="1"/>
      <c r="D337" s="2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ht="12.0" customHeight="1">
      <c r="A338" s="1"/>
      <c r="B338" s="1"/>
      <c r="C338" s="1"/>
      <c r="D338" s="2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ht="12.0" customHeight="1">
      <c r="A339" s="1"/>
      <c r="B339" s="1"/>
      <c r="C339" s="1"/>
      <c r="D339" s="2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ht="12.0" customHeight="1">
      <c r="A340" s="1"/>
      <c r="B340" s="1"/>
      <c r="C340" s="1"/>
      <c r="D340" s="2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ht="12.0" customHeight="1">
      <c r="A341" s="1"/>
      <c r="B341" s="1"/>
      <c r="C341" s="1"/>
      <c r="D341" s="2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ht="12.0" customHeight="1">
      <c r="A342" s="1"/>
      <c r="B342" s="1"/>
      <c r="C342" s="1"/>
      <c r="D342" s="2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ht="12.0" customHeight="1">
      <c r="A343" s="1"/>
      <c r="B343" s="1"/>
      <c r="C343" s="1"/>
      <c r="D343" s="2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ht="12.0" customHeight="1">
      <c r="A344" s="1"/>
      <c r="B344" s="1"/>
      <c r="C344" s="1"/>
      <c r="D344" s="2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ht="12.0" customHeight="1">
      <c r="A345" s="1"/>
      <c r="B345" s="1"/>
      <c r="C345" s="1"/>
      <c r="D345" s="2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ht="12.0" customHeight="1">
      <c r="A346" s="1"/>
      <c r="B346" s="1"/>
      <c r="C346" s="1"/>
      <c r="D346" s="2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ht="12.0" customHeight="1">
      <c r="A347" s="1"/>
      <c r="B347" s="1"/>
      <c r="C347" s="1"/>
      <c r="D347" s="2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ht="12.0" customHeight="1">
      <c r="A348" s="1"/>
      <c r="B348" s="1"/>
      <c r="C348" s="1"/>
      <c r="D348" s="2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ht="12.0" customHeight="1">
      <c r="A349" s="1"/>
      <c r="B349" s="1"/>
      <c r="C349" s="1"/>
      <c r="D349" s="2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ht="12.0" customHeight="1">
      <c r="A350" s="1"/>
      <c r="B350" s="1"/>
      <c r="C350" s="1"/>
      <c r="D350" s="2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ht="12.0" customHeight="1">
      <c r="A351" s="1"/>
      <c r="B351" s="1"/>
      <c r="C351" s="1"/>
      <c r="D351" s="2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ht="12.0" customHeight="1">
      <c r="A352" s="1"/>
      <c r="B352" s="1"/>
      <c r="C352" s="1"/>
      <c r="D352" s="2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ht="12.0" customHeight="1">
      <c r="A353" s="1"/>
      <c r="B353" s="1"/>
      <c r="C353" s="1"/>
      <c r="D353" s="2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ht="12.0" customHeight="1">
      <c r="A354" s="1"/>
      <c r="B354" s="1"/>
      <c r="C354" s="1"/>
      <c r="D354" s="2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ht="12.0" customHeight="1">
      <c r="A355" s="1"/>
      <c r="B355" s="1"/>
      <c r="C355" s="1"/>
      <c r="D355" s="2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ht="12.0" customHeight="1">
      <c r="A356" s="1"/>
      <c r="B356" s="1"/>
      <c r="C356" s="1"/>
      <c r="D356" s="2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ht="12.0" customHeight="1">
      <c r="A357" s="1"/>
      <c r="B357" s="1"/>
      <c r="C357" s="1"/>
      <c r="D357" s="2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ht="12.0" customHeight="1">
      <c r="A358" s="1"/>
      <c r="B358" s="1"/>
      <c r="C358" s="1"/>
      <c r="D358" s="2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ht="12.0" customHeight="1">
      <c r="A359" s="1"/>
      <c r="B359" s="1"/>
      <c r="C359" s="1"/>
      <c r="D359" s="2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ht="12.0" customHeight="1">
      <c r="A360" s="1"/>
      <c r="B360" s="1"/>
      <c r="C360" s="1"/>
      <c r="D360" s="2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ht="12.0" customHeight="1">
      <c r="A361" s="1"/>
      <c r="B361" s="1"/>
      <c r="C361" s="1"/>
      <c r="D361" s="2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ht="12.0" customHeight="1">
      <c r="A362" s="1"/>
      <c r="B362" s="1"/>
      <c r="C362" s="1"/>
      <c r="D362" s="2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ht="12.0" customHeight="1">
      <c r="A363" s="1"/>
      <c r="B363" s="1"/>
      <c r="C363" s="1"/>
      <c r="D363" s="2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ht="12.0" customHeight="1">
      <c r="A364" s="1"/>
      <c r="B364" s="1"/>
      <c r="C364" s="1"/>
      <c r="D364" s="2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ht="12.0" customHeight="1">
      <c r="A365" s="1"/>
      <c r="B365" s="1"/>
      <c r="C365" s="1"/>
      <c r="D365" s="2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ht="12.0" customHeight="1">
      <c r="A366" s="1"/>
      <c r="B366" s="1"/>
      <c r="C366" s="1"/>
      <c r="D366" s="2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ht="12.0" customHeight="1">
      <c r="A367" s="1"/>
      <c r="B367" s="1"/>
      <c r="C367" s="1"/>
      <c r="D367" s="2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ht="12.0" customHeight="1">
      <c r="A368" s="1"/>
      <c r="B368" s="1"/>
      <c r="C368" s="1"/>
      <c r="D368" s="2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ht="12.0" customHeight="1">
      <c r="A369" s="1"/>
      <c r="B369" s="1"/>
      <c r="C369" s="1"/>
      <c r="D369" s="2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ht="12.0" customHeight="1">
      <c r="A370" s="1"/>
      <c r="B370" s="1"/>
      <c r="C370" s="1"/>
      <c r="D370" s="2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ht="12.0" customHeight="1">
      <c r="A371" s="1"/>
      <c r="B371" s="1"/>
      <c r="C371" s="1"/>
      <c r="D371" s="2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ht="12.0" customHeight="1">
      <c r="A372" s="1"/>
      <c r="B372" s="1"/>
      <c r="C372" s="1"/>
      <c r="D372" s="2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ht="12.0" customHeight="1">
      <c r="A373" s="1"/>
      <c r="B373" s="1"/>
      <c r="C373" s="1"/>
      <c r="D373" s="2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ht="12.0" customHeight="1">
      <c r="A374" s="1"/>
      <c r="B374" s="1"/>
      <c r="C374" s="1"/>
      <c r="D374" s="2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ht="12.0" customHeight="1">
      <c r="A375" s="1"/>
      <c r="B375" s="1"/>
      <c r="C375" s="1"/>
      <c r="D375" s="2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ht="12.0" customHeight="1">
      <c r="A376" s="1"/>
      <c r="B376" s="1"/>
      <c r="C376" s="1"/>
      <c r="D376" s="2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ht="12.0" customHeight="1">
      <c r="A377" s="1"/>
      <c r="B377" s="1"/>
      <c r="C377" s="1"/>
      <c r="D377" s="2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ht="12.0" customHeight="1">
      <c r="A378" s="1"/>
      <c r="B378" s="1"/>
      <c r="C378" s="1"/>
      <c r="D378" s="2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ht="12.0" customHeight="1">
      <c r="A379" s="1"/>
      <c r="B379" s="1"/>
      <c r="C379" s="1"/>
      <c r="D379" s="2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ht="12.0" customHeight="1">
      <c r="A380" s="1"/>
      <c r="B380" s="1"/>
      <c r="C380" s="1"/>
      <c r="D380" s="2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ht="12.0" customHeight="1">
      <c r="A381" s="1"/>
      <c r="B381" s="1"/>
      <c r="C381" s="1"/>
      <c r="D381" s="2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ht="12.0" customHeight="1">
      <c r="A382" s="1"/>
      <c r="B382" s="1"/>
      <c r="C382" s="1"/>
      <c r="D382" s="2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ht="12.0" customHeight="1">
      <c r="A383" s="1"/>
      <c r="B383" s="1"/>
      <c r="C383" s="1"/>
      <c r="D383" s="2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ht="12.0" customHeight="1">
      <c r="A384" s="1"/>
      <c r="B384" s="1"/>
      <c r="C384" s="1"/>
      <c r="D384" s="2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ht="12.0" customHeight="1">
      <c r="A385" s="1"/>
      <c r="B385" s="1"/>
      <c r="C385" s="1"/>
      <c r="D385" s="2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ht="12.0" customHeight="1">
      <c r="A386" s="1"/>
      <c r="B386" s="1"/>
      <c r="C386" s="1"/>
      <c r="D386" s="2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ht="12.0" customHeight="1">
      <c r="A387" s="1"/>
      <c r="B387" s="1"/>
      <c r="C387" s="1"/>
      <c r="D387" s="2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ht="12.0" customHeight="1">
      <c r="A388" s="1"/>
      <c r="B388" s="1"/>
      <c r="C388" s="1"/>
      <c r="D388" s="2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ht="12.0" customHeight="1">
      <c r="A389" s="1"/>
      <c r="B389" s="1"/>
      <c r="C389" s="1"/>
      <c r="D389" s="2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ht="12.0" customHeight="1">
      <c r="A390" s="1"/>
      <c r="B390" s="1"/>
      <c r="C390" s="1"/>
      <c r="D390" s="2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ht="12.0" customHeight="1">
      <c r="A391" s="1"/>
      <c r="B391" s="1"/>
      <c r="C391" s="1"/>
      <c r="D391" s="2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ht="12.0" customHeight="1">
      <c r="A392" s="1"/>
      <c r="B392" s="1"/>
      <c r="C392" s="1"/>
      <c r="D392" s="2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ht="12.0" customHeight="1">
      <c r="A393" s="1"/>
      <c r="B393" s="1"/>
      <c r="C393" s="1"/>
      <c r="D393" s="2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ht="12.0" customHeight="1">
      <c r="A394" s="1"/>
      <c r="B394" s="1"/>
      <c r="C394" s="1"/>
      <c r="D394" s="2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ht="12.0" customHeight="1">
      <c r="A395" s="1"/>
      <c r="B395" s="1"/>
      <c r="C395" s="1"/>
      <c r="D395" s="2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ht="12.0" customHeight="1">
      <c r="A396" s="1"/>
      <c r="B396" s="1"/>
      <c r="C396" s="1"/>
      <c r="D396" s="2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ht="12.0" customHeight="1">
      <c r="A397" s="1"/>
      <c r="B397" s="1"/>
      <c r="C397" s="1"/>
      <c r="D397" s="2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ht="12.0" customHeight="1">
      <c r="A398" s="1"/>
      <c r="B398" s="1"/>
      <c r="C398" s="1"/>
      <c r="D398" s="2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ht="12.0" customHeight="1">
      <c r="A399" s="1"/>
      <c r="B399" s="1"/>
      <c r="C399" s="1"/>
      <c r="D399" s="2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ht="12.0" customHeight="1">
      <c r="A400" s="1"/>
      <c r="B400" s="1"/>
      <c r="C400" s="1"/>
      <c r="D400" s="2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ht="12.0" customHeight="1">
      <c r="A401" s="1"/>
      <c r="B401" s="1"/>
      <c r="C401" s="1"/>
      <c r="D401" s="2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ht="12.0" customHeight="1">
      <c r="A402" s="1"/>
      <c r="B402" s="1"/>
      <c r="C402" s="1"/>
      <c r="D402" s="2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ht="12.0" customHeight="1">
      <c r="A403" s="1"/>
      <c r="B403" s="1"/>
      <c r="C403" s="1"/>
      <c r="D403" s="2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ht="12.0" customHeight="1">
      <c r="A404" s="1"/>
      <c r="B404" s="1"/>
      <c r="C404" s="1"/>
      <c r="D404" s="2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ht="12.0" customHeight="1">
      <c r="A405" s="1"/>
      <c r="B405" s="1"/>
      <c r="C405" s="1"/>
      <c r="D405" s="2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ht="12.0" customHeight="1">
      <c r="A406" s="1"/>
      <c r="B406" s="1"/>
      <c r="C406" s="1"/>
      <c r="D406" s="2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ht="12.0" customHeight="1">
      <c r="A407" s="1"/>
      <c r="B407" s="1"/>
      <c r="C407" s="1"/>
      <c r="D407" s="2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ht="12.0" customHeight="1">
      <c r="A408" s="1"/>
      <c r="B408" s="1"/>
      <c r="C408" s="1"/>
      <c r="D408" s="2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ht="12.0" customHeight="1">
      <c r="A409" s="1"/>
      <c r="B409" s="1"/>
      <c r="C409" s="1"/>
      <c r="D409" s="2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ht="12.0" customHeight="1">
      <c r="A410" s="1"/>
      <c r="B410" s="1"/>
      <c r="C410" s="1"/>
      <c r="D410" s="2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ht="12.0" customHeight="1">
      <c r="A411" s="1"/>
      <c r="B411" s="1"/>
      <c r="C411" s="1"/>
      <c r="D411" s="2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ht="12.0" customHeight="1">
      <c r="A412" s="1"/>
      <c r="B412" s="1"/>
      <c r="C412" s="1"/>
      <c r="D412" s="2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ht="12.0" customHeight="1">
      <c r="A413" s="1"/>
      <c r="B413" s="1"/>
      <c r="C413" s="1"/>
      <c r="D413" s="2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ht="12.0" customHeight="1">
      <c r="A414" s="1"/>
      <c r="B414" s="1"/>
      <c r="C414" s="1"/>
      <c r="D414" s="2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ht="12.0" customHeight="1">
      <c r="A415" s="1"/>
      <c r="B415" s="1"/>
      <c r="C415" s="1"/>
      <c r="D415" s="2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ht="12.0" customHeight="1">
      <c r="A416" s="1"/>
      <c r="B416" s="1"/>
      <c r="C416" s="1"/>
      <c r="D416" s="2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ht="12.0" customHeight="1">
      <c r="A417" s="1"/>
      <c r="B417" s="1"/>
      <c r="C417" s="1"/>
      <c r="D417" s="2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ht="12.0" customHeight="1">
      <c r="A418" s="1"/>
      <c r="B418" s="1"/>
      <c r="C418" s="1"/>
      <c r="D418" s="2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ht="12.0" customHeight="1">
      <c r="A419" s="1"/>
      <c r="B419" s="1"/>
      <c r="C419" s="1"/>
      <c r="D419" s="2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ht="12.0" customHeight="1">
      <c r="A420" s="1"/>
      <c r="B420" s="1"/>
      <c r="C420" s="1"/>
      <c r="D420" s="2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ht="12.0" customHeight="1">
      <c r="A421" s="1"/>
      <c r="B421" s="1"/>
      <c r="C421" s="1"/>
      <c r="D421" s="2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ht="12.0" customHeight="1">
      <c r="A422" s="1"/>
      <c r="B422" s="1"/>
      <c r="C422" s="1"/>
      <c r="D422" s="2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ht="12.0" customHeight="1">
      <c r="A423" s="1"/>
      <c r="B423" s="1"/>
      <c r="C423" s="1"/>
      <c r="D423" s="2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ht="12.0" customHeight="1">
      <c r="A424" s="1"/>
      <c r="B424" s="1"/>
      <c r="C424" s="1"/>
      <c r="D424" s="2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ht="12.0" customHeight="1">
      <c r="A425" s="1"/>
      <c r="B425" s="1"/>
      <c r="C425" s="1"/>
      <c r="D425" s="2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ht="12.0" customHeight="1">
      <c r="A426" s="1"/>
      <c r="B426" s="1"/>
      <c r="C426" s="1"/>
      <c r="D426" s="2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ht="12.0" customHeight="1">
      <c r="A427" s="1"/>
      <c r="B427" s="1"/>
      <c r="C427" s="1"/>
      <c r="D427" s="2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ht="12.0" customHeight="1">
      <c r="A428" s="1"/>
      <c r="B428" s="1"/>
      <c r="C428" s="1"/>
      <c r="D428" s="2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ht="12.0" customHeight="1">
      <c r="A429" s="1"/>
      <c r="B429" s="1"/>
      <c r="C429" s="1"/>
      <c r="D429" s="2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ht="12.0" customHeight="1">
      <c r="A430" s="1"/>
      <c r="B430" s="1"/>
      <c r="C430" s="1"/>
      <c r="D430" s="2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ht="12.0" customHeight="1">
      <c r="A431" s="1"/>
      <c r="B431" s="1"/>
      <c r="C431" s="1"/>
      <c r="D431" s="2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ht="12.0" customHeight="1">
      <c r="A432" s="1"/>
      <c r="B432" s="1"/>
      <c r="C432" s="1"/>
      <c r="D432" s="2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ht="12.0" customHeight="1">
      <c r="A433" s="1"/>
      <c r="B433" s="1"/>
      <c r="C433" s="1"/>
      <c r="D433" s="2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ht="12.0" customHeight="1">
      <c r="A434" s="1"/>
      <c r="B434" s="1"/>
      <c r="C434" s="1"/>
      <c r="D434" s="2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ht="12.0" customHeight="1">
      <c r="A435" s="1"/>
      <c r="B435" s="1"/>
      <c r="C435" s="1"/>
      <c r="D435" s="2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ht="12.0" customHeight="1">
      <c r="A436" s="1"/>
      <c r="B436" s="1"/>
      <c r="C436" s="1"/>
      <c r="D436" s="2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ht="12.0" customHeight="1">
      <c r="A437" s="1"/>
      <c r="B437" s="1"/>
      <c r="C437" s="1"/>
      <c r="D437" s="2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ht="12.0" customHeight="1">
      <c r="A438" s="1"/>
      <c r="B438" s="1"/>
      <c r="C438" s="1"/>
      <c r="D438" s="2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ht="12.0" customHeight="1">
      <c r="A439" s="1"/>
      <c r="B439" s="1"/>
      <c r="C439" s="1"/>
      <c r="D439" s="2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ht="12.0" customHeight="1">
      <c r="A440" s="1"/>
      <c r="B440" s="1"/>
      <c r="C440" s="1"/>
      <c r="D440" s="2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ht="12.0" customHeight="1">
      <c r="A441" s="1"/>
      <c r="B441" s="1"/>
      <c r="C441" s="1"/>
      <c r="D441" s="2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ht="12.0" customHeight="1">
      <c r="A442" s="1"/>
      <c r="B442" s="1"/>
      <c r="C442" s="1"/>
      <c r="D442" s="2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ht="12.0" customHeight="1">
      <c r="A443" s="1"/>
      <c r="B443" s="1"/>
      <c r="C443" s="1"/>
      <c r="D443" s="2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ht="12.0" customHeight="1">
      <c r="A444" s="1"/>
      <c r="B444" s="1"/>
      <c r="C444" s="1"/>
      <c r="D444" s="2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ht="12.0" customHeight="1">
      <c r="A445" s="1"/>
      <c r="B445" s="1"/>
      <c r="C445" s="1"/>
      <c r="D445" s="2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ht="12.0" customHeight="1">
      <c r="A446" s="1"/>
      <c r="B446" s="1"/>
      <c r="C446" s="1"/>
      <c r="D446" s="2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ht="12.0" customHeight="1">
      <c r="A447" s="1"/>
      <c r="B447" s="1"/>
      <c r="C447" s="1"/>
      <c r="D447" s="2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ht="12.0" customHeight="1">
      <c r="A448" s="1"/>
      <c r="B448" s="1"/>
      <c r="C448" s="1"/>
      <c r="D448" s="2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ht="12.0" customHeight="1">
      <c r="A449" s="1"/>
      <c r="B449" s="1"/>
      <c r="C449" s="1"/>
      <c r="D449" s="2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ht="12.0" customHeight="1">
      <c r="A450" s="1"/>
      <c r="B450" s="1"/>
      <c r="C450" s="1"/>
      <c r="D450" s="2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ht="12.0" customHeight="1">
      <c r="A451" s="1"/>
      <c r="B451" s="1"/>
      <c r="C451" s="1"/>
      <c r="D451" s="2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ht="12.0" customHeight="1">
      <c r="A452" s="1"/>
      <c r="B452" s="1"/>
      <c r="C452" s="1"/>
      <c r="D452" s="2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ht="12.0" customHeight="1">
      <c r="A453" s="1"/>
      <c r="B453" s="1"/>
      <c r="C453" s="1"/>
      <c r="D453" s="2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ht="12.0" customHeight="1">
      <c r="A454" s="1"/>
      <c r="B454" s="1"/>
      <c r="C454" s="1"/>
      <c r="D454" s="2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ht="12.0" customHeight="1">
      <c r="A455" s="1"/>
      <c r="B455" s="1"/>
      <c r="C455" s="1"/>
      <c r="D455" s="2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ht="12.0" customHeight="1">
      <c r="A456" s="1"/>
      <c r="B456" s="1"/>
      <c r="C456" s="1"/>
      <c r="D456" s="2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ht="12.0" customHeight="1">
      <c r="A457" s="1"/>
      <c r="B457" s="1"/>
      <c r="C457" s="1"/>
      <c r="D457" s="2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ht="12.0" customHeight="1">
      <c r="A458" s="1"/>
      <c r="B458" s="1"/>
      <c r="C458" s="1"/>
      <c r="D458" s="2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ht="12.0" customHeight="1">
      <c r="A459" s="1"/>
      <c r="B459" s="1"/>
      <c r="C459" s="1"/>
      <c r="D459" s="2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ht="12.0" customHeight="1">
      <c r="A460" s="1"/>
      <c r="B460" s="1"/>
      <c r="C460" s="1"/>
      <c r="D460" s="2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ht="12.0" customHeight="1">
      <c r="A461" s="1"/>
      <c r="B461" s="1"/>
      <c r="C461" s="1"/>
      <c r="D461" s="2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ht="12.0" customHeight="1">
      <c r="A462" s="1"/>
      <c r="B462" s="1"/>
      <c r="C462" s="1"/>
      <c r="D462" s="2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ht="12.0" customHeight="1">
      <c r="A463" s="1"/>
      <c r="B463" s="1"/>
      <c r="C463" s="1"/>
      <c r="D463" s="2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ht="12.0" customHeight="1">
      <c r="A464" s="1"/>
      <c r="B464" s="1"/>
      <c r="C464" s="1"/>
      <c r="D464" s="2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ht="12.0" customHeight="1">
      <c r="A465" s="1"/>
      <c r="B465" s="1"/>
      <c r="C465" s="1"/>
      <c r="D465" s="2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ht="12.0" customHeight="1">
      <c r="A466" s="1"/>
      <c r="B466" s="1"/>
      <c r="C466" s="1"/>
      <c r="D466" s="2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ht="12.0" customHeight="1">
      <c r="A467" s="1"/>
      <c r="B467" s="1"/>
      <c r="C467" s="1"/>
      <c r="D467" s="2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ht="12.0" customHeight="1">
      <c r="A468" s="1"/>
      <c r="B468" s="1"/>
      <c r="C468" s="1"/>
      <c r="D468" s="2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ht="12.0" customHeight="1">
      <c r="A469" s="1"/>
      <c r="B469" s="1"/>
      <c r="C469" s="1"/>
      <c r="D469" s="2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ht="12.0" customHeight="1">
      <c r="A470" s="1"/>
      <c r="B470" s="1"/>
      <c r="C470" s="1"/>
      <c r="D470" s="2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ht="12.0" customHeight="1">
      <c r="A471" s="1"/>
      <c r="B471" s="1"/>
      <c r="C471" s="1"/>
      <c r="D471" s="2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ht="12.0" customHeight="1">
      <c r="A472" s="1"/>
      <c r="B472" s="1"/>
      <c r="C472" s="1"/>
      <c r="D472" s="2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ht="12.0" customHeight="1">
      <c r="A473" s="1"/>
      <c r="B473" s="1"/>
      <c r="C473" s="1"/>
      <c r="D473" s="2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ht="12.0" customHeight="1">
      <c r="A474" s="1"/>
      <c r="B474" s="1"/>
      <c r="C474" s="1"/>
      <c r="D474" s="2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ht="12.0" customHeight="1">
      <c r="A475" s="1"/>
      <c r="B475" s="1"/>
      <c r="C475" s="1"/>
      <c r="D475" s="2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ht="12.0" customHeight="1">
      <c r="A476" s="1"/>
      <c r="B476" s="1"/>
      <c r="C476" s="1"/>
      <c r="D476" s="2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ht="12.0" customHeight="1">
      <c r="A477" s="1"/>
      <c r="B477" s="1"/>
      <c r="C477" s="1"/>
      <c r="D477" s="2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ht="12.0" customHeight="1">
      <c r="A478" s="1"/>
      <c r="B478" s="1"/>
      <c r="C478" s="1"/>
      <c r="D478" s="2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ht="12.0" customHeight="1">
      <c r="A479" s="1"/>
      <c r="B479" s="1"/>
      <c r="C479" s="1"/>
      <c r="D479" s="2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ht="12.0" customHeight="1">
      <c r="A480" s="1"/>
      <c r="B480" s="1"/>
      <c r="C480" s="1"/>
      <c r="D480" s="2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ht="12.0" customHeight="1">
      <c r="A481" s="1"/>
      <c r="B481" s="1"/>
      <c r="C481" s="1"/>
      <c r="D481" s="2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ht="12.0" customHeight="1">
      <c r="A482" s="1"/>
      <c r="B482" s="1"/>
      <c r="C482" s="1"/>
      <c r="D482" s="2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ht="12.0" customHeight="1">
      <c r="A483" s="1"/>
      <c r="B483" s="1"/>
      <c r="C483" s="1"/>
      <c r="D483" s="2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ht="12.0" customHeight="1">
      <c r="A484" s="1"/>
      <c r="B484" s="1"/>
      <c r="C484" s="1"/>
      <c r="D484" s="2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ht="12.0" customHeight="1">
      <c r="A485" s="1"/>
      <c r="B485" s="1"/>
      <c r="C485" s="1"/>
      <c r="D485" s="2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ht="12.0" customHeight="1">
      <c r="A486" s="1"/>
      <c r="B486" s="1"/>
      <c r="C486" s="1"/>
      <c r="D486" s="2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ht="12.0" customHeight="1">
      <c r="A487" s="1"/>
      <c r="B487" s="1"/>
      <c r="C487" s="1"/>
      <c r="D487" s="2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ht="12.0" customHeight="1">
      <c r="A488" s="1"/>
      <c r="B488" s="1"/>
      <c r="C488" s="1"/>
      <c r="D488" s="2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ht="12.0" customHeight="1">
      <c r="A489" s="1"/>
      <c r="B489" s="1"/>
      <c r="C489" s="1"/>
      <c r="D489" s="2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ht="12.0" customHeight="1">
      <c r="A490" s="1"/>
      <c r="B490" s="1"/>
      <c r="C490" s="1"/>
      <c r="D490" s="2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ht="12.0" customHeight="1">
      <c r="A491" s="1"/>
      <c r="B491" s="1"/>
      <c r="C491" s="1"/>
      <c r="D491" s="2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ht="12.0" customHeight="1">
      <c r="A492" s="1"/>
      <c r="B492" s="1"/>
      <c r="C492" s="1"/>
      <c r="D492" s="2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ht="12.0" customHeight="1">
      <c r="A493" s="1"/>
      <c r="B493" s="1"/>
      <c r="C493" s="1"/>
      <c r="D493" s="2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ht="12.0" customHeight="1">
      <c r="A494" s="1"/>
      <c r="B494" s="1"/>
      <c r="C494" s="1"/>
      <c r="D494" s="2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ht="12.0" customHeight="1">
      <c r="A495" s="1"/>
      <c r="B495" s="1"/>
      <c r="C495" s="1"/>
      <c r="D495" s="2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ht="12.0" customHeight="1">
      <c r="A496" s="1"/>
      <c r="B496" s="1"/>
      <c r="C496" s="1"/>
      <c r="D496" s="2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ht="12.0" customHeight="1">
      <c r="A497" s="1"/>
      <c r="B497" s="1"/>
      <c r="C497" s="1"/>
      <c r="D497" s="2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ht="12.0" customHeight="1">
      <c r="A498" s="1"/>
      <c r="B498" s="1"/>
      <c r="C498" s="1"/>
      <c r="D498" s="2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ht="12.0" customHeight="1">
      <c r="A499" s="1"/>
      <c r="B499" s="1"/>
      <c r="C499" s="1"/>
      <c r="D499" s="2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ht="12.0" customHeight="1">
      <c r="A500" s="1"/>
      <c r="B500" s="1"/>
      <c r="C500" s="1"/>
      <c r="D500" s="2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ht="12.0" customHeight="1">
      <c r="A501" s="1"/>
      <c r="B501" s="1"/>
      <c r="C501" s="1"/>
      <c r="D501" s="2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ht="12.0" customHeight="1">
      <c r="A502" s="1"/>
      <c r="B502" s="1"/>
      <c r="C502" s="1"/>
      <c r="D502" s="2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ht="12.0" customHeight="1">
      <c r="A503" s="1"/>
      <c r="B503" s="1"/>
      <c r="C503" s="1"/>
      <c r="D503" s="2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ht="12.0" customHeight="1">
      <c r="A504" s="1"/>
      <c r="B504" s="1"/>
      <c r="C504" s="1"/>
      <c r="D504" s="2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ht="12.0" customHeight="1">
      <c r="A505" s="1"/>
      <c r="B505" s="1"/>
      <c r="C505" s="1"/>
      <c r="D505" s="2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ht="12.0" customHeight="1">
      <c r="A506" s="1"/>
      <c r="B506" s="1"/>
      <c r="C506" s="1"/>
      <c r="D506" s="2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ht="12.0" customHeight="1">
      <c r="A507" s="1"/>
      <c r="B507" s="1"/>
      <c r="C507" s="1"/>
      <c r="D507" s="2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ht="12.0" customHeight="1">
      <c r="A508" s="1"/>
      <c r="B508" s="1"/>
      <c r="C508" s="1"/>
      <c r="D508" s="2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ht="12.0" customHeight="1">
      <c r="A509" s="1"/>
      <c r="B509" s="1"/>
      <c r="C509" s="1"/>
      <c r="D509" s="2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ht="12.0" customHeight="1">
      <c r="A510" s="1"/>
      <c r="B510" s="1"/>
      <c r="C510" s="1"/>
      <c r="D510" s="2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ht="12.0" customHeight="1">
      <c r="A511" s="1"/>
      <c r="B511" s="1"/>
      <c r="C511" s="1"/>
      <c r="D511" s="2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ht="12.0" customHeight="1">
      <c r="A512" s="1"/>
      <c r="B512" s="1"/>
      <c r="C512" s="1"/>
      <c r="D512" s="2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ht="12.0" customHeight="1">
      <c r="A513" s="1"/>
      <c r="B513" s="1"/>
      <c r="C513" s="1"/>
      <c r="D513" s="2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ht="12.0" customHeight="1">
      <c r="A514" s="1"/>
      <c r="B514" s="1"/>
      <c r="C514" s="1"/>
      <c r="D514" s="2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ht="12.0" customHeight="1">
      <c r="A515" s="1"/>
      <c r="B515" s="1"/>
      <c r="C515" s="1"/>
      <c r="D515" s="2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ht="12.0" customHeight="1">
      <c r="A516" s="1"/>
      <c r="B516" s="1"/>
      <c r="C516" s="1"/>
      <c r="D516" s="2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ht="12.0" customHeight="1">
      <c r="A517" s="1"/>
      <c r="B517" s="1"/>
      <c r="C517" s="1"/>
      <c r="D517" s="2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ht="12.0" customHeight="1">
      <c r="A518" s="1"/>
      <c r="B518" s="1"/>
      <c r="C518" s="1"/>
      <c r="D518" s="2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ht="12.0" customHeight="1">
      <c r="A519" s="1"/>
      <c r="B519" s="1"/>
      <c r="C519" s="1"/>
      <c r="D519" s="2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ht="12.0" customHeight="1">
      <c r="A520" s="1"/>
      <c r="B520" s="1"/>
      <c r="C520" s="1"/>
      <c r="D520" s="2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ht="12.0" customHeight="1">
      <c r="A521" s="1"/>
      <c r="B521" s="1"/>
      <c r="C521" s="1"/>
      <c r="D521" s="2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ht="12.0" customHeight="1">
      <c r="A522" s="1"/>
      <c r="B522" s="1"/>
      <c r="C522" s="1"/>
      <c r="D522" s="2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ht="12.0" customHeight="1">
      <c r="A523" s="1"/>
      <c r="B523" s="1"/>
      <c r="C523" s="1"/>
      <c r="D523" s="2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ht="12.0" customHeight="1">
      <c r="A524" s="1"/>
      <c r="B524" s="1"/>
      <c r="C524" s="1"/>
      <c r="D524" s="2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ht="12.0" customHeight="1">
      <c r="A525" s="1"/>
      <c r="B525" s="1"/>
      <c r="C525" s="1"/>
      <c r="D525" s="2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ht="12.0" customHeight="1">
      <c r="A526" s="1"/>
      <c r="B526" s="1"/>
      <c r="C526" s="1"/>
      <c r="D526" s="2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ht="12.0" customHeight="1">
      <c r="A527" s="1"/>
      <c r="B527" s="1"/>
      <c r="C527" s="1"/>
      <c r="D527" s="2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ht="12.0" customHeight="1">
      <c r="A528" s="1"/>
      <c r="B528" s="1"/>
      <c r="C528" s="1"/>
      <c r="D528" s="2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ht="12.0" customHeight="1">
      <c r="A529" s="1"/>
      <c r="B529" s="1"/>
      <c r="C529" s="1"/>
      <c r="D529" s="2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ht="12.0" customHeight="1">
      <c r="A530" s="1"/>
      <c r="B530" s="1"/>
      <c r="C530" s="1"/>
      <c r="D530" s="2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ht="12.0" customHeight="1">
      <c r="A531" s="1"/>
      <c r="B531" s="1"/>
      <c r="C531" s="1"/>
      <c r="D531" s="2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ht="12.0" customHeight="1">
      <c r="A532" s="1"/>
      <c r="B532" s="1"/>
      <c r="C532" s="1"/>
      <c r="D532" s="2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ht="12.0" customHeight="1">
      <c r="A533" s="1"/>
      <c r="B533" s="1"/>
      <c r="C533" s="1"/>
      <c r="D533" s="2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ht="12.0" customHeight="1">
      <c r="A534" s="1"/>
      <c r="B534" s="1"/>
      <c r="C534" s="1"/>
      <c r="D534" s="2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ht="12.0" customHeight="1">
      <c r="A535" s="1"/>
      <c r="B535" s="1"/>
      <c r="C535" s="1"/>
      <c r="D535" s="2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ht="12.0" customHeight="1">
      <c r="A536" s="1"/>
      <c r="B536" s="1"/>
      <c r="C536" s="1"/>
      <c r="D536" s="2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ht="12.0" customHeight="1">
      <c r="A537" s="1"/>
      <c r="B537" s="1"/>
      <c r="C537" s="1"/>
      <c r="D537" s="2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ht="12.0" customHeight="1">
      <c r="A538" s="1"/>
      <c r="B538" s="1"/>
      <c r="C538" s="1"/>
      <c r="D538" s="2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ht="12.0" customHeight="1">
      <c r="A539" s="1"/>
      <c r="B539" s="1"/>
      <c r="C539" s="1"/>
      <c r="D539" s="2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ht="12.0" customHeight="1">
      <c r="A540" s="1"/>
      <c r="B540" s="1"/>
      <c r="C540" s="1"/>
      <c r="D540" s="2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ht="12.0" customHeight="1">
      <c r="A541" s="1"/>
      <c r="B541" s="1"/>
      <c r="C541" s="1"/>
      <c r="D541" s="2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ht="12.0" customHeight="1">
      <c r="A542" s="1"/>
      <c r="B542" s="1"/>
      <c r="C542" s="1"/>
      <c r="D542" s="2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ht="12.0" customHeight="1">
      <c r="A543" s="1"/>
      <c r="B543" s="1"/>
      <c r="C543" s="1"/>
      <c r="D543" s="2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ht="12.0" customHeight="1">
      <c r="A544" s="1"/>
      <c r="B544" s="1"/>
      <c r="C544" s="1"/>
      <c r="D544" s="2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ht="12.0" customHeight="1">
      <c r="A545" s="1"/>
      <c r="B545" s="1"/>
      <c r="C545" s="1"/>
      <c r="D545" s="2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ht="12.0" customHeight="1">
      <c r="A546" s="1"/>
      <c r="B546" s="1"/>
      <c r="C546" s="1"/>
      <c r="D546" s="2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ht="12.0" customHeight="1">
      <c r="A547" s="1"/>
      <c r="B547" s="1"/>
      <c r="C547" s="1"/>
      <c r="D547" s="2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ht="12.0" customHeight="1">
      <c r="A548" s="1"/>
      <c r="B548" s="1"/>
      <c r="C548" s="1"/>
      <c r="D548" s="2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ht="12.0" customHeight="1">
      <c r="A549" s="1"/>
      <c r="B549" s="1"/>
      <c r="C549" s="1"/>
      <c r="D549" s="2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ht="12.0" customHeight="1">
      <c r="A550" s="1"/>
      <c r="B550" s="1"/>
      <c r="C550" s="1"/>
      <c r="D550" s="2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ht="12.0" customHeight="1">
      <c r="A551" s="1"/>
      <c r="B551" s="1"/>
      <c r="C551" s="1"/>
      <c r="D551" s="2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ht="12.0" customHeight="1">
      <c r="A552" s="1"/>
      <c r="B552" s="1"/>
      <c r="C552" s="1"/>
      <c r="D552" s="2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ht="12.0" customHeight="1">
      <c r="A553" s="1"/>
      <c r="B553" s="1"/>
      <c r="C553" s="1"/>
      <c r="D553" s="2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ht="12.0" customHeight="1">
      <c r="A554" s="1"/>
      <c r="B554" s="1"/>
      <c r="C554" s="1"/>
      <c r="D554" s="2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ht="12.0" customHeight="1">
      <c r="A555" s="1"/>
      <c r="B555" s="1"/>
      <c r="C555" s="1"/>
      <c r="D555" s="2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ht="12.0" customHeight="1">
      <c r="A556" s="1"/>
      <c r="B556" s="1"/>
      <c r="C556" s="1"/>
      <c r="D556" s="2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ht="12.0" customHeight="1">
      <c r="A557" s="1"/>
      <c r="B557" s="1"/>
      <c r="C557" s="1"/>
      <c r="D557" s="2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ht="12.0" customHeight="1">
      <c r="A558" s="1"/>
      <c r="B558" s="1"/>
      <c r="C558" s="1"/>
      <c r="D558" s="2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ht="12.0" customHeight="1">
      <c r="A559" s="1"/>
      <c r="B559" s="1"/>
      <c r="C559" s="1"/>
      <c r="D559" s="2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ht="12.0" customHeight="1">
      <c r="A560" s="1"/>
      <c r="B560" s="1"/>
      <c r="C560" s="1"/>
      <c r="D560" s="2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ht="12.0" customHeight="1">
      <c r="A561" s="1"/>
      <c r="B561" s="1"/>
      <c r="C561" s="1"/>
      <c r="D561" s="2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ht="12.0" customHeight="1">
      <c r="A562" s="1"/>
      <c r="B562" s="1"/>
      <c r="C562" s="1"/>
      <c r="D562" s="2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ht="12.0" customHeight="1">
      <c r="A563" s="1"/>
      <c r="B563" s="1"/>
      <c r="C563" s="1"/>
      <c r="D563" s="2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ht="12.0" customHeight="1">
      <c r="A564" s="1"/>
      <c r="B564" s="1"/>
      <c r="C564" s="1"/>
      <c r="D564" s="2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ht="12.0" customHeight="1">
      <c r="A565" s="1"/>
      <c r="B565" s="1"/>
      <c r="C565" s="1"/>
      <c r="D565" s="2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ht="12.0" customHeight="1">
      <c r="A566" s="1"/>
      <c r="B566" s="1"/>
      <c r="C566" s="1"/>
      <c r="D566" s="2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ht="12.0" customHeight="1">
      <c r="A567" s="1"/>
      <c r="B567" s="1"/>
      <c r="C567" s="1"/>
      <c r="D567" s="2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ht="12.0" customHeight="1">
      <c r="A568" s="1"/>
      <c r="B568" s="1"/>
      <c r="C568" s="1"/>
      <c r="D568" s="2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ht="12.0" customHeight="1">
      <c r="A569" s="1"/>
      <c r="B569" s="1"/>
      <c r="C569" s="1"/>
      <c r="D569" s="2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ht="12.0" customHeight="1">
      <c r="A570" s="1"/>
      <c r="B570" s="1"/>
      <c r="C570" s="1"/>
      <c r="D570" s="2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ht="12.0" customHeight="1">
      <c r="A571" s="1"/>
      <c r="B571" s="1"/>
      <c r="C571" s="1"/>
      <c r="D571" s="2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ht="12.0" customHeight="1">
      <c r="A572" s="1"/>
      <c r="B572" s="1"/>
      <c r="C572" s="1"/>
      <c r="D572" s="2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ht="12.0" customHeight="1">
      <c r="A573" s="1"/>
      <c r="B573" s="1"/>
      <c r="C573" s="1"/>
      <c r="D573" s="2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ht="12.0" customHeight="1">
      <c r="A574" s="1"/>
      <c r="B574" s="1"/>
      <c r="C574" s="1"/>
      <c r="D574" s="2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ht="12.0" customHeight="1">
      <c r="A575" s="1"/>
      <c r="B575" s="1"/>
      <c r="C575" s="1"/>
      <c r="D575" s="2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ht="12.0" customHeight="1">
      <c r="A576" s="1"/>
      <c r="B576" s="1"/>
      <c r="C576" s="1"/>
      <c r="D576" s="2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ht="12.0" customHeight="1">
      <c r="A577" s="1"/>
      <c r="B577" s="1"/>
      <c r="C577" s="1"/>
      <c r="D577" s="2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ht="12.0" customHeight="1">
      <c r="A578" s="1"/>
      <c r="B578" s="1"/>
      <c r="C578" s="1"/>
      <c r="D578" s="2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ht="12.0" customHeight="1">
      <c r="A579" s="1"/>
      <c r="B579" s="1"/>
      <c r="C579" s="1"/>
      <c r="D579" s="2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ht="12.0" customHeight="1">
      <c r="A580" s="1"/>
      <c r="B580" s="1"/>
      <c r="C580" s="1"/>
      <c r="D580" s="2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ht="12.0" customHeight="1">
      <c r="A581" s="1"/>
      <c r="B581" s="1"/>
      <c r="C581" s="1"/>
      <c r="D581" s="2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ht="12.0" customHeight="1">
      <c r="A582" s="1"/>
      <c r="B582" s="1"/>
      <c r="C582" s="1"/>
      <c r="D582" s="2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ht="12.0" customHeight="1">
      <c r="A583" s="1"/>
      <c r="B583" s="1"/>
      <c r="C583" s="1"/>
      <c r="D583" s="2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ht="12.0" customHeight="1">
      <c r="A584" s="1"/>
      <c r="B584" s="1"/>
      <c r="C584" s="1"/>
      <c r="D584" s="2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ht="12.0" customHeight="1">
      <c r="A585" s="1"/>
      <c r="B585" s="1"/>
      <c r="C585" s="1"/>
      <c r="D585" s="2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ht="12.0" customHeight="1">
      <c r="A586" s="1"/>
      <c r="B586" s="1"/>
      <c r="C586" s="1"/>
      <c r="D586" s="2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ht="12.0" customHeight="1">
      <c r="A587" s="1"/>
      <c r="B587" s="1"/>
      <c r="C587" s="1"/>
      <c r="D587" s="2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ht="12.0" customHeight="1">
      <c r="A588" s="1"/>
      <c r="B588" s="1"/>
      <c r="C588" s="1"/>
      <c r="D588" s="2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ht="12.0" customHeight="1">
      <c r="A589" s="1"/>
      <c r="B589" s="1"/>
      <c r="C589" s="1"/>
      <c r="D589" s="2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ht="12.0" customHeight="1">
      <c r="A590" s="1"/>
      <c r="B590" s="1"/>
      <c r="C590" s="1"/>
      <c r="D590" s="2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ht="12.0" customHeight="1">
      <c r="A591" s="1"/>
      <c r="B591" s="1"/>
      <c r="C591" s="1"/>
      <c r="D591" s="2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ht="12.0" customHeight="1">
      <c r="A592" s="1"/>
      <c r="B592" s="1"/>
      <c r="C592" s="1"/>
      <c r="D592" s="2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ht="12.0" customHeight="1">
      <c r="A593" s="1"/>
      <c r="B593" s="1"/>
      <c r="C593" s="1"/>
      <c r="D593" s="2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ht="12.0" customHeight="1">
      <c r="A594" s="1"/>
      <c r="B594" s="1"/>
      <c r="C594" s="1"/>
      <c r="D594" s="2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ht="12.0" customHeight="1">
      <c r="A595" s="1"/>
      <c r="B595" s="1"/>
      <c r="C595" s="1"/>
      <c r="D595" s="2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ht="12.0" customHeight="1">
      <c r="A596" s="1"/>
      <c r="B596" s="1"/>
      <c r="C596" s="1"/>
      <c r="D596" s="2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ht="12.0" customHeight="1">
      <c r="A597" s="1"/>
      <c r="B597" s="1"/>
      <c r="C597" s="1"/>
      <c r="D597" s="2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ht="12.0" customHeight="1">
      <c r="A598" s="1"/>
      <c r="B598" s="1"/>
      <c r="C598" s="1"/>
      <c r="D598" s="2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ht="12.0" customHeight="1">
      <c r="A599" s="1"/>
      <c r="B599" s="1"/>
      <c r="C599" s="1"/>
      <c r="D599" s="2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ht="12.0" customHeight="1">
      <c r="A600" s="1"/>
      <c r="B600" s="1"/>
      <c r="C600" s="1"/>
      <c r="D600" s="2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ht="12.0" customHeight="1">
      <c r="A601" s="1"/>
      <c r="B601" s="1"/>
      <c r="C601" s="1"/>
      <c r="D601" s="2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ht="12.0" customHeight="1">
      <c r="A602" s="1"/>
      <c r="B602" s="1"/>
      <c r="C602" s="1"/>
      <c r="D602" s="2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ht="12.0" customHeight="1">
      <c r="A603" s="1"/>
      <c r="B603" s="1"/>
      <c r="C603" s="1"/>
      <c r="D603" s="2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ht="12.0" customHeight="1">
      <c r="A604" s="1"/>
      <c r="B604" s="1"/>
      <c r="C604" s="1"/>
      <c r="D604" s="2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ht="12.0" customHeight="1">
      <c r="A605" s="1"/>
      <c r="B605" s="1"/>
      <c r="C605" s="1"/>
      <c r="D605" s="2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ht="12.0" customHeight="1">
      <c r="A606" s="1"/>
      <c r="B606" s="1"/>
      <c r="C606" s="1"/>
      <c r="D606" s="2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ht="12.0" customHeight="1">
      <c r="A607" s="1"/>
      <c r="B607" s="1"/>
      <c r="C607" s="1"/>
      <c r="D607" s="2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ht="12.0" customHeight="1">
      <c r="A608" s="1"/>
      <c r="B608" s="1"/>
      <c r="C608" s="1"/>
      <c r="D608" s="2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ht="12.0" customHeight="1">
      <c r="A609" s="1"/>
      <c r="B609" s="1"/>
      <c r="C609" s="1"/>
      <c r="D609" s="2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ht="12.0" customHeight="1">
      <c r="A610" s="1"/>
      <c r="B610" s="1"/>
      <c r="C610" s="1"/>
      <c r="D610" s="2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ht="12.0" customHeight="1">
      <c r="A611" s="1"/>
      <c r="B611" s="1"/>
      <c r="C611" s="1"/>
      <c r="D611" s="2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ht="12.0" customHeight="1">
      <c r="A612" s="1"/>
      <c r="B612" s="1"/>
      <c r="C612" s="1"/>
      <c r="D612" s="2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ht="12.0" customHeight="1">
      <c r="A613" s="1"/>
      <c r="B613" s="1"/>
      <c r="C613" s="1"/>
      <c r="D613" s="2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ht="12.0" customHeight="1">
      <c r="A614" s="1"/>
      <c r="B614" s="1"/>
      <c r="C614" s="1"/>
      <c r="D614" s="2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ht="12.0" customHeight="1">
      <c r="A615" s="1"/>
      <c r="B615" s="1"/>
      <c r="C615" s="1"/>
      <c r="D615" s="2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ht="12.0" customHeight="1">
      <c r="A616" s="1"/>
      <c r="B616" s="1"/>
      <c r="C616" s="1"/>
      <c r="D616" s="2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ht="12.0" customHeight="1">
      <c r="A617" s="1"/>
      <c r="B617" s="1"/>
      <c r="C617" s="1"/>
      <c r="D617" s="2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ht="12.0" customHeight="1">
      <c r="A618" s="1"/>
      <c r="B618" s="1"/>
      <c r="C618" s="1"/>
      <c r="D618" s="2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ht="12.0" customHeight="1">
      <c r="A619" s="1"/>
      <c r="B619" s="1"/>
      <c r="C619" s="1"/>
      <c r="D619" s="2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ht="12.0" customHeight="1">
      <c r="A620" s="1"/>
      <c r="B620" s="1"/>
      <c r="C620" s="1"/>
      <c r="D620" s="2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ht="12.0" customHeight="1">
      <c r="A621" s="1"/>
      <c r="B621" s="1"/>
      <c r="C621" s="1"/>
      <c r="D621" s="2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ht="12.0" customHeight="1">
      <c r="A622" s="1"/>
      <c r="B622" s="1"/>
      <c r="C622" s="1"/>
      <c r="D622" s="2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ht="12.0" customHeight="1">
      <c r="A623" s="1"/>
      <c r="B623" s="1"/>
      <c r="C623" s="1"/>
      <c r="D623" s="2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ht="12.0" customHeight="1">
      <c r="A624" s="1"/>
      <c r="B624" s="1"/>
      <c r="C624" s="1"/>
      <c r="D624" s="2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ht="12.0" customHeight="1">
      <c r="A625" s="1"/>
      <c r="B625" s="1"/>
      <c r="C625" s="1"/>
      <c r="D625" s="2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ht="12.0" customHeight="1">
      <c r="A626" s="1"/>
      <c r="B626" s="1"/>
      <c r="C626" s="1"/>
      <c r="D626" s="2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ht="12.0" customHeight="1">
      <c r="A627" s="1"/>
      <c r="B627" s="1"/>
      <c r="C627" s="1"/>
      <c r="D627" s="2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ht="12.0" customHeight="1">
      <c r="A628" s="1"/>
      <c r="B628" s="1"/>
      <c r="C628" s="1"/>
      <c r="D628" s="2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ht="12.0" customHeight="1">
      <c r="A629" s="1"/>
      <c r="B629" s="1"/>
      <c r="C629" s="1"/>
      <c r="D629" s="2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ht="12.0" customHeight="1">
      <c r="A630" s="1"/>
      <c r="B630" s="1"/>
      <c r="C630" s="1"/>
      <c r="D630" s="2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ht="12.0" customHeight="1">
      <c r="A631" s="1"/>
      <c r="B631" s="1"/>
      <c r="C631" s="1"/>
      <c r="D631" s="2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ht="12.0" customHeight="1">
      <c r="A632" s="1"/>
      <c r="B632" s="1"/>
      <c r="C632" s="1"/>
      <c r="D632" s="2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ht="12.0" customHeight="1">
      <c r="A633" s="1"/>
      <c r="B633" s="1"/>
      <c r="C633" s="1"/>
      <c r="D633" s="2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ht="12.0" customHeight="1">
      <c r="A634" s="1"/>
      <c r="B634" s="1"/>
      <c r="C634" s="1"/>
      <c r="D634" s="2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ht="12.0" customHeight="1">
      <c r="A635" s="1"/>
      <c r="B635" s="1"/>
      <c r="C635" s="1"/>
      <c r="D635" s="2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ht="12.0" customHeight="1">
      <c r="A636" s="1"/>
      <c r="B636" s="1"/>
      <c r="C636" s="1"/>
      <c r="D636" s="2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ht="12.0" customHeight="1">
      <c r="A637" s="1"/>
      <c r="B637" s="1"/>
      <c r="C637" s="1"/>
      <c r="D637" s="2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ht="12.0" customHeight="1">
      <c r="A638" s="1"/>
      <c r="B638" s="1"/>
      <c r="C638" s="1"/>
      <c r="D638" s="2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ht="12.0" customHeight="1">
      <c r="A639" s="1"/>
      <c r="B639" s="1"/>
      <c r="C639" s="1"/>
      <c r="D639" s="2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ht="12.0" customHeight="1">
      <c r="A640" s="1"/>
      <c r="B640" s="1"/>
      <c r="C640" s="1"/>
      <c r="D640" s="2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ht="12.0" customHeight="1">
      <c r="A641" s="1"/>
      <c r="B641" s="1"/>
      <c r="C641" s="1"/>
      <c r="D641" s="2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ht="12.0" customHeight="1">
      <c r="A642" s="1"/>
      <c r="B642" s="1"/>
      <c r="C642" s="1"/>
      <c r="D642" s="2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ht="12.0" customHeight="1">
      <c r="A643" s="1"/>
      <c r="B643" s="1"/>
      <c r="C643" s="1"/>
      <c r="D643" s="2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ht="12.0" customHeight="1">
      <c r="A644" s="1"/>
      <c r="B644" s="1"/>
      <c r="C644" s="1"/>
      <c r="D644" s="2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ht="12.0" customHeight="1">
      <c r="A645" s="1"/>
      <c r="B645" s="1"/>
      <c r="C645" s="1"/>
      <c r="D645" s="2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ht="12.0" customHeight="1">
      <c r="A646" s="1"/>
      <c r="B646" s="1"/>
      <c r="C646" s="1"/>
      <c r="D646" s="2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ht="12.0" customHeight="1">
      <c r="A647" s="1"/>
      <c r="B647" s="1"/>
      <c r="C647" s="1"/>
      <c r="D647" s="2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ht="12.0" customHeight="1">
      <c r="A648" s="1"/>
      <c r="B648" s="1"/>
      <c r="C648" s="1"/>
      <c r="D648" s="2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ht="12.0" customHeight="1">
      <c r="A649" s="1"/>
      <c r="B649" s="1"/>
      <c r="C649" s="1"/>
      <c r="D649" s="2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ht="12.0" customHeight="1">
      <c r="A650" s="1"/>
      <c r="B650" s="1"/>
      <c r="C650" s="1"/>
      <c r="D650" s="2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ht="12.0" customHeight="1">
      <c r="A651" s="1"/>
      <c r="B651" s="1"/>
      <c r="C651" s="1"/>
      <c r="D651" s="2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ht="12.0" customHeight="1">
      <c r="A652" s="1"/>
      <c r="B652" s="1"/>
      <c r="C652" s="1"/>
      <c r="D652" s="2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ht="12.0" customHeight="1">
      <c r="A653" s="1"/>
      <c r="B653" s="1"/>
      <c r="C653" s="1"/>
      <c r="D653" s="2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ht="12.0" customHeight="1">
      <c r="A654" s="1"/>
      <c r="B654" s="1"/>
      <c r="C654" s="1"/>
      <c r="D654" s="2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ht="12.0" customHeight="1">
      <c r="A655" s="1"/>
      <c r="B655" s="1"/>
      <c r="C655" s="1"/>
      <c r="D655" s="2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ht="12.0" customHeight="1">
      <c r="A656" s="1"/>
      <c r="B656" s="1"/>
      <c r="C656" s="1"/>
      <c r="D656" s="2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ht="12.0" customHeight="1">
      <c r="A657" s="1"/>
      <c r="B657" s="1"/>
      <c r="C657" s="1"/>
      <c r="D657" s="2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ht="12.0" customHeight="1">
      <c r="A658" s="1"/>
      <c r="B658" s="1"/>
      <c r="C658" s="1"/>
      <c r="D658" s="2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ht="12.0" customHeight="1">
      <c r="A659" s="1"/>
      <c r="B659" s="1"/>
      <c r="C659" s="1"/>
      <c r="D659" s="2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ht="12.0" customHeight="1">
      <c r="A660" s="1"/>
      <c r="B660" s="1"/>
      <c r="C660" s="1"/>
      <c r="D660" s="2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ht="12.0" customHeight="1">
      <c r="A661" s="1"/>
      <c r="B661" s="1"/>
      <c r="C661" s="1"/>
      <c r="D661" s="2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ht="12.0" customHeight="1">
      <c r="A662" s="1"/>
      <c r="B662" s="1"/>
      <c r="C662" s="1"/>
      <c r="D662" s="2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ht="12.0" customHeight="1">
      <c r="A663" s="1"/>
      <c r="B663" s="1"/>
      <c r="C663" s="1"/>
      <c r="D663" s="2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ht="12.0" customHeight="1">
      <c r="A664" s="1"/>
      <c r="B664" s="1"/>
      <c r="C664" s="1"/>
      <c r="D664" s="2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ht="12.0" customHeight="1">
      <c r="A665" s="1"/>
      <c r="B665" s="1"/>
      <c r="C665" s="1"/>
      <c r="D665" s="2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ht="12.0" customHeight="1">
      <c r="A666" s="1"/>
      <c r="B666" s="1"/>
      <c r="C666" s="1"/>
      <c r="D666" s="2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ht="12.0" customHeight="1">
      <c r="A667" s="1"/>
      <c r="B667" s="1"/>
      <c r="C667" s="1"/>
      <c r="D667" s="2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ht="12.0" customHeight="1">
      <c r="A668" s="1"/>
      <c r="B668" s="1"/>
      <c r="C668" s="1"/>
      <c r="D668" s="2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ht="12.0" customHeight="1">
      <c r="A669" s="1"/>
      <c r="B669" s="1"/>
      <c r="C669" s="1"/>
      <c r="D669" s="2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ht="12.0" customHeight="1">
      <c r="A670" s="1"/>
      <c r="B670" s="1"/>
      <c r="C670" s="1"/>
      <c r="D670" s="2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ht="12.0" customHeight="1">
      <c r="A671" s="1"/>
      <c r="B671" s="1"/>
      <c r="C671" s="1"/>
      <c r="D671" s="2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ht="12.0" customHeight="1">
      <c r="A672" s="1"/>
      <c r="B672" s="1"/>
      <c r="C672" s="1"/>
      <c r="D672" s="2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ht="12.0" customHeight="1">
      <c r="A673" s="1"/>
      <c r="B673" s="1"/>
      <c r="C673" s="1"/>
      <c r="D673" s="2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ht="12.0" customHeight="1">
      <c r="A674" s="1"/>
      <c r="B674" s="1"/>
      <c r="C674" s="1"/>
      <c r="D674" s="2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ht="12.0" customHeight="1">
      <c r="A675" s="1"/>
      <c r="B675" s="1"/>
      <c r="C675" s="1"/>
      <c r="D675" s="2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ht="12.0" customHeight="1">
      <c r="A676" s="1"/>
      <c r="B676" s="1"/>
      <c r="C676" s="1"/>
      <c r="D676" s="2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ht="12.0" customHeight="1">
      <c r="A677" s="1"/>
      <c r="B677" s="1"/>
      <c r="C677" s="1"/>
      <c r="D677" s="2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ht="12.0" customHeight="1">
      <c r="A678" s="1"/>
      <c r="B678" s="1"/>
      <c r="C678" s="1"/>
      <c r="D678" s="2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ht="12.0" customHeight="1">
      <c r="A679" s="1"/>
      <c r="B679" s="1"/>
      <c r="C679" s="1"/>
      <c r="D679" s="2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ht="12.0" customHeight="1">
      <c r="A680" s="1"/>
      <c r="B680" s="1"/>
      <c r="C680" s="1"/>
      <c r="D680" s="2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ht="12.0" customHeight="1">
      <c r="A681" s="1"/>
      <c r="B681" s="1"/>
      <c r="C681" s="1"/>
      <c r="D681" s="2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ht="12.0" customHeight="1">
      <c r="A682" s="1"/>
      <c r="B682" s="1"/>
      <c r="C682" s="1"/>
      <c r="D682" s="2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ht="12.0" customHeight="1">
      <c r="A683" s="1"/>
      <c r="B683" s="1"/>
      <c r="C683" s="1"/>
      <c r="D683" s="2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ht="12.0" customHeight="1">
      <c r="A684" s="1"/>
      <c r="B684" s="1"/>
      <c r="C684" s="1"/>
      <c r="D684" s="2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ht="12.0" customHeight="1">
      <c r="A685" s="1"/>
      <c r="B685" s="1"/>
      <c r="C685" s="1"/>
      <c r="D685" s="2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ht="12.0" customHeight="1">
      <c r="A686" s="1"/>
      <c r="B686" s="1"/>
      <c r="C686" s="1"/>
      <c r="D686" s="2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ht="12.0" customHeight="1">
      <c r="A687" s="1"/>
      <c r="B687" s="1"/>
      <c r="C687" s="1"/>
      <c r="D687" s="2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ht="12.0" customHeight="1">
      <c r="A688" s="1"/>
      <c r="B688" s="1"/>
      <c r="C688" s="1"/>
      <c r="D688" s="2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ht="12.0" customHeight="1">
      <c r="A689" s="1"/>
      <c r="B689" s="1"/>
      <c r="C689" s="1"/>
      <c r="D689" s="2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ht="12.0" customHeight="1">
      <c r="A690" s="1"/>
      <c r="B690" s="1"/>
      <c r="C690" s="1"/>
      <c r="D690" s="2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ht="12.0" customHeight="1">
      <c r="A691" s="1"/>
      <c r="B691" s="1"/>
      <c r="C691" s="1"/>
      <c r="D691" s="2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ht="12.0" customHeight="1">
      <c r="A692" s="1"/>
      <c r="B692" s="1"/>
      <c r="C692" s="1"/>
      <c r="D692" s="2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ht="12.0" customHeight="1">
      <c r="A693" s="1"/>
      <c r="B693" s="1"/>
      <c r="C693" s="1"/>
      <c r="D693" s="2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ht="12.0" customHeight="1">
      <c r="A694" s="1"/>
      <c r="B694" s="1"/>
      <c r="C694" s="1"/>
      <c r="D694" s="2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ht="12.0" customHeight="1">
      <c r="A695" s="1"/>
      <c r="B695" s="1"/>
      <c r="C695" s="1"/>
      <c r="D695" s="2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ht="12.0" customHeight="1">
      <c r="A696" s="1"/>
      <c r="B696" s="1"/>
      <c r="C696" s="1"/>
      <c r="D696" s="2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ht="12.0" customHeight="1">
      <c r="A697" s="1"/>
      <c r="B697" s="1"/>
      <c r="C697" s="1"/>
      <c r="D697" s="2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ht="12.0" customHeight="1">
      <c r="A698" s="1"/>
      <c r="B698" s="1"/>
      <c r="C698" s="1"/>
      <c r="D698" s="2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ht="12.0" customHeight="1">
      <c r="A699" s="1"/>
      <c r="B699" s="1"/>
      <c r="C699" s="1"/>
      <c r="D699" s="2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ht="12.0" customHeight="1">
      <c r="A700" s="1"/>
      <c r="B700" s="1"/>
      <c r="C700" s="1"/>
      <c r="D700" s="2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ht="12.0" customHeight="1">
      <c r="A701" s="1"/>
      <c r="B701" s="1"/>
      <c r="C701" s="1"/>
      <c r="D701" s="2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ht="12.0" customHeight="1">
      <c r="A702" s="1"/>
      <c r="B702" s="1"/>
      <c r="C702" s="1"/>
      <c r="D702" s="2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ht="12.0" customHeight="1">
      <c r="A703" s="1"/>
      <c r="B703" s="1"/>
      <c r="C703" s="1"/>
      <c r="D703" s="2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ht="12.0" customHeight="1">
      <c r="A704" s="1"/>
      <c r="B704" s="1"/>
      <c r="C704" s="1"/>
      <c r="D704" s="2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ht="12.0" customHeight="1">
      <c r="A705" s="1"/>
      <c r="B705" s="1"/>
      <c r="C705" s="1"/>
      <c r="D705" s="2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ht="12.0" customHeight="1">
      <c r="A706" s="1"/>
      <c r="B706" s="1"/>
      <c r="C706" s="1"/>
      <c r="D706" s="2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ht="12.0" customHeight="1">
      <c r="A707" s="1"/>
      <c r="B707" s="1"/>
      <c r="C707" s="1"/>
      <c r="D707" s="2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ht="12.0" customHeight="1">
      <c r="A708" s="1"/>
      <c r="B708" s="1"/>
      <c r="C708" s="1"/>
      <c r="D708" s="2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ht="12.0" customHeight="1">
      <c r="A709" s="1"/>
      <c r="B709" s="1"/>
      <c r="C709" s="1"/>
      <c r="D709" s="2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ht="12.0" customHeight="1">
      <c r="A710" s="1"/>
      <c r="B710" s="1"/>
      <c r="C710" s="1"/>
      <c r="D710" s="2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ht="12.0" customHeight="1">
      <c r="A711" s="1"/>
      <c r="B711" s="1"/>
      <c r="C711" s="1"/>
      <c r="D711" s="2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ht="12.0" customHeight="1">
      <c r="A712" s="1"/>
      <c r="B712" s="1"/>
      <c r="C712" s="1"/>
      <c r="D712" s="2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ht="12.0" customHeight="1">
      <c r="A713" s="1"/>
      <c r="B713" s="1"/>
      <c r="C713" s="1"/>
      <c r="D713" s="2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ht="12.0" customHeight="1">
      <c r="A714" s="1"/>
      <c r="B714" s="1"/>
      <c r="C714" s="1"/>
      <c r="D714" s="2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ht="12.0" customHeight="1">
      <c r="A715" s="1"/>
      <c r="B715" s="1"/>
      <c r="C715" s="1"/>
      <c r="D715" s="2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ht="12.0" customHeight="1">
      <c r="A716" s="1"/>
      <c r="B716" s="1"/>
      <c r="C716" s="1"/>
      <c r="D716" s="2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ht="12.0" customHeight="1">
      <c r="A717" s="1"/>
      <c r="B717" s="1"/>
      <c r="C717" s="1"/>
      <c r="D717" s="2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ht="12.0" customHeight="1">
      <c r="A718" s="1"/>
      <c r="B718" s="1"/>
      <c r="C718" s="1"/>
      <c r="D718" s="2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ht="12.0" customHeight="1">
      <c r="A719" s="1"/>
      <c r="B719" s="1"/>
      <c r="C719" s="1"/>
      <c r="D719" s="2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ht="12.0" customHeight="1">
      <c r="A720" s="1"/>
      <c r="B720" s="1"/>
      <c r="C720" s="1"/>
      <c r="D720" s="2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ht="12.0" customHeight="1">
      <c r="A721" s="1"/>
      <c r="B721" s="1"/>
      <c r="C721" s="1"/>
      <c r="D721" s="2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ht="12.0" customHeight="1">
      <c r="A722" s="1"/>
      <c r="B722" s="1"/>
      <c r="C722" s="1"/>
      <c r="D722" s="2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ht="12.0" customHeight="1">
      <c r="A723" s="1"/>
      <c r="B723" s="1"/>
      <c r="C723" s="1"/>
      <c r="D723" s="2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ht="12.0" customHeight="1">
      <c r="A724" s="1"/>
      <c r="B724" s="1"/>
      <c r="C724" s="1"/>
      <c r="D724" s="2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ht="12.0" customHeight="1">
      <c r="A725" s="1"/>
      <c r="B725" s="1"/>
      <c r="C725" s="1"/>
      <c r="D725" s="2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ht="12.0" customHeight="1">
      <c r="A726" s="1"/>
      <c r="B726" s="1"/>
      <c r="C726" s="1"/>
      <c r="D726" s="2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ht="12.0" customHeight="1">
      <c r="A727" s="1"/>
      <c r="B727" s="1"/>
      <c r="C727" s="1"/>
      <c r="D727" s="2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ht="12.0" customHeight="1">
      <c r="A728" s="1"/>
      <c r="B728" s="1"/>
      <c r="C728" s="1"/>
      <c r="D728" s="2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ht="12.0" customHeight="1">
      <c r="A729" s="1"/>
      <c r="B729" s="1"/>
      <c r="C729" s="1"/>
      <c r="D729" s="2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ht="12.0" customHeight="1">
      <c r="A730" s="1"/>
      <c r="B730" s="1"/>
      <c r="C730" s="1"/>
      <c r="D730" s="2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ht="12.0" customHeight="1">
      <c r="A731" s="1"/>
      <c r="B731" s="1"/>
      <c r="C731" s="1"/>
      <c r="D731" s="2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ht="12.0" customHeight="1">
      <c r="A732" s="1"/>
      <c r="B732" s="1"/>
      <c r="C732" s="1"/>
      <c r="D732" s="2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ht="12.0" customHeight="1">
      <c r="A733" s="1"/>
      <c r="B733" s="1"/>
      <c r="C733" s="1"/>
      <c r="D733" s="2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ht="12.0" customHeight="1">
      <c r="A734" s="1"/>
      <c r="B734" s="1"/>
      <c r="C734" s="1"/>
      <c r="D734" s="2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ht="12.0" customHeight="1">
      <c r="A735" s="1"/>
      <c r="B735" s="1"/>
      <c r="C735" s="1"/>
      <c r="D735" s="2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ht="12.0" customHeight="1">
      <c r="A736" s="1"/>
      <c r="B736" s="1"/>
      <c r="C736" s="1"/>
      <c r="D736" s="2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ht="12.0" customHeight="1">
      <c r="A737" s="1"/>
      <c r="B737" s="1"/>
      <c r="C737" s="1"/>
      <c r="D737" s="2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ht="12.0" customHeight="1">
      <c r="A738" s="1"/>
      <c r="B738" s="1"/>
      <c r="C738" s="1"/>
      <c r="D738" s="2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ht="12.0" customHeight="1">
      <c r="A739" s="1"/>
      <c r="B739" s="1"/>
      <c r="C739" s="1"/>
      <c r="D739" s="2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ht="12.0" customHeight="1">
      <c r="A740" s="1"/>
      <c r="B740" s="1"/>
      <c r="C740" s="1"/>
      <c r="D740" s="2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ht="12.0" customHeight="1">
      <c r="A741" s="1"/>
      <c r="B741" s="1"/>
      <c r="C741" s="1"/>
      <c r="D741" s="2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ht="12.0" customHeight="1">
      <c r="A742" s="1"/>
      <c r="B742" s="1"/>
      <c r="C742" s="1"/>
      <c r="D742" s="2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ht="12.0" customHeight="1">
      <c r="A743" s="1"/>
      <c r="B743" s="1"/>
      <c r="C743" s="1"/>
      <c r="D743" s="2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ht="12.0" customHeight="1">
      <c r="A744" s="1"/>
      <c r="B744" s="1"/>
      <c r="C744" s="1"/>
      <c r="D744" s="2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ht="12.0" customHeight="1">
      <c r="A745" s="1"/>
      <c r="B745" s="1"/>
      <c r="C745" s="1"/>
      <c r="D745" s="2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ht="12.0" customHeight="1">
      <c r="A746" s="1"/>
      <c r="B746" s="1"/>
      <c r="C746" s="1"/>
      <c r="D746" s="2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ht="12.0" customHeight="1">
      <c r="A747" s="1"/>
      <c r="B747" s="1"/>
      <c r="C747" s="1"/>
      <c r="D747" s="2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ht="12.0" customHeight="1">
      <c r="A748" s="1"/>
      <c r="B748" s="1"/>
      <c r="C748" s="1"/>
      <c r="D748" s="2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ht="12.0" customHeight="1">
      <c r="A749" s="1"/>
      <c r="B749" s="1"/>
      <c r="C749" s="1"/>
      <c r="D749" s="2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ht="12.0" customHeight="1">
      <c r="A750" s="1"/>
      <c r="B750" s="1"/>
      <c r="C750" s="1"/>
      <c r="D750" s="2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ht="12.0" customHeight="1">
      <c r="A751" s="1"/>
      <c r="B751" s="1"/>
      <c r="C751" s="1"/>
      <c r="D751" s="2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ht="12.0" customHeight="1">
      <c r="A752" s="1"/>
      <c r="B752" s="1"/>
      <c r="C752" s="1"/>
      <c r="D752" s="2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ht="12.0" customHeight="1">
      <c r="A753" s="1"/>
      <c r="B753" s="1"/>
      <c r="C753" s="1"/>
      <c r="D753" s="2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ht="12.0" customHeight="1">
      <c r="A754" s="1"/>
      <c r="B754" s="1"/>
      <c r="C754" s="1"/>
      <c r="D754" s="2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ht="12.0" customHeight="1">
      <c r="A755" s="1"/>
      <c r="B755" s="1"/>
      <c r="C755" s="1"/>
      <c r="D755" s="2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ht="12.0" customHeight="1">
      <c r="A756" s="1"/>
      <c r="B756" s="1"/>
      <c r="C756" s="1"/>
      <c r="D756" s="2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ht="12.0" customHeight="1">
      <c r="A757" s="1"/>
      <c r="B757" s="1"/>
      <c r="C757" s="1"/>
      <c r="D757" s="2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ht="12.0" customHeight="1">
      <c r="A758" s="1"/>
      <c r="B758" s="1"/>
      <c r="C758" s="1"/>
      <c r="D758" s="2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ht="12.0" customHeight="1">
      <c r="A759" s="1"/>
      <c r="B759" s="1"/>
      <c r="C759" s="1"/>
      <c r="D759" s="2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ht="12.0" customHeight="1">
      <c r="A760" s="1"/>
      <c r="B760" s="1"/>
      <c r="C760" s="1"/>
      <c r="D760" s="2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ht="12.0" customHeight="1">
      <c r="A761" s="1"/>
      <c r="B761" s="1"/>
      <c r="C761" s="1"/>
      <c r="D761" s="2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ht="12.0" customHeight="1">
      <c r="A762" s="1"/>
      <c r="B762" s="1"/>
      <c r="C762" s="1"/>
      <c r="D762" s="2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ht="12.0" customHeight="1">
      <c r="A763" s="1"/>
      <c r="B763" s="1"/>
      <c r="C763" s="1"/>
      <c r="D763" s="2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ht="12.0" customHeight="1">
      <c r="A764" s="1"/>
      <c r="B764" s="1"/>
      <c r="C764" s="1"/>
      <c r="D764" s="2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ht="12.0" customHeight="1">
      <c r="A765" s="1"/>
      <c r="B765" s="1"/>
      <c r="C765" s="1"/>
      <c r="D765" s="2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ht="12.0" customHeight="1">
      <c r="A766" s="1"/>
      <c r="B766" s="1"/>
      <c r="C766" s="1"/>
      <c r="D766" s="2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ht="12.0" customHeight="1">
      <c r="A767" s="1"/>
      <c r="B767" s="1"/>
      <c r="C767" s="1"/>
      <c r="D767" s="2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ht="12.0" customHeight="1">
      <c r="A768" s="1"/>
      <c r="B768" s="1"/>
      <c r="C768" s="1"/>
      <c r="D768" s="2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ht="12.0" customHeight="1">
      <c r="A769" s="1"/>
      <c r="B769" s="1"/>
      <c r="C769" s="1"/>
      <c r="D769" s="2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ht="12.0" customHeight="1">
      <c r="A770" s="1"/>
      <c r="B770" s="1"/>
      <c r="C770" s="1"/>
      <c r="D770" s="2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ht="12.0" customHeight="1">
      <c r="A771" s="1"/>
      <c r="B771" s="1"/>
      <c r="C771" s="1"/>
      <c r="D771" s="2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ht="12.0" customHeight="1">
      <c r="A772" s="1"/>
      <c r="B772" s="1"/>
      <c r="C772" s="1"/>
      <c r="D772" s="2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ht="12.0" customHeight="1">
      <c r="A773" s="1"/>
      <c r="B773" s="1"/>
      <c r="C773" s="1"/>
      <c r="D773" s="2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ht="12.0" customHeight="1">
      <c r="A774" s="1"/>
      <c r="B774" s="1"/>
      <c r="C774" s="1"/>
      <c r="D774" s="2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ht="12.0" customHeight="1">
      <c r="A775" s="1"/>
      <c r="B775" s="1"/>
      <c r="C775" s="1"/>
      <c r="D775" s="2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ht="12.0" customHeight="1">
      <c r="A776" s="1"/>
      <c r="B776" s="1"/>
      <c r="C776" s="1"/>
      <c r="D776" s="2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ht="12.0" customHeight="1">
      <c r="A777" s="1"/>
      <c r="B777" s="1"/>
      <c r="C777" s="1"/>
      <c r="D777" s="2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ht="12.0" customHeight="1">
      <c r="A778" s="1"/>
      <c r="B778" s="1"/>
      <c r="C778" s="1"/>
      <c r="D778" s="2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ht="12.0" customHeight="1">
      <c r="A779" s="1"/>
      <c r="B779" s="1"/>
      <c r="C779" s="1"/>
      <c r="D779" s="2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ht="12.0" customHeight="1">
      <c r="A780" s="1"/>
      <c r="B780" s="1"/>
      <c r="C780" s="1"/>
      <c r="D780" s="2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ht="12.0" customHeight="1">
      <c r="A781" s="1"/>
      <c r="B781" s="1"/>
      <c r="C781" s="1"/>
      <c r="D781" s="2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ht="12.0" customHeight="1">
      <c r="A782" s="1"/>
      <c r="B782" s="1"/>
      <c r="C782" s="1"/>
      <c r="D782" s="2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ht="12.0" customHeight="1">
      <c r="A783" s="1"/>
      <c r="B783" s="1"/>
      <c r="C783" s="1"/>
      <c r="D783" s="2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ht="12.0" customHeight="1">
      <c r="A784" s="1"/>
      <c r="B784" s="1"/>
      <c r="C784" s="1"/>
      <c r="D784" s="2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ht="12.0" customHeight="1">
      <c r="A785" s="1"/>
      <c r="B785" s="1"/>
      <c r="C785" s="1"/>
      <c r="D785" s="2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ht="12.0" customHeight="1">
      <c r="A786" s="1"/>
      <c r="B786" s="1"/>
      <c r="C786" s="1"/>
      <c r="D786" s="2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ht="12.0" customHeight="1">
      <c r="A787" s="1"/>
      <c r="B787" s="1"/>
      <c r="C787" s="1"/>
      <c r="D787" s="2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ht="12.0" customHeight="1">
      <c r="A788" s="1"/>
      <c r="B788" s="1"/>
      <c r="C788" s="1"/>
      <c r="D788" s="2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ht="12.0" customHeight="1">
      <c r="A789" s="1"/>
      <c r="B789" s="1"/>
      <c r="C789" s="1"/>
      <c r="D789" s="2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ht="12.0" customHeight="1">
      <c r="A790" s="1"/>
      <c r="B790" s="1"/>
      <c r="C790" s="1"/>
      <c r="D790" s="2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ht="12.0" customHeight="1">
      <c r="A791" s="1"/>
      <c r="B791" s="1"/>
      <c r="C791" s="1"/>
      <c r="D791" s="2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ht="12.0" customHeight="1">
      <c r="A792" s="1"/>
      <c r="B792" s="1"/>
      <c r="C792" s="1"/>
      <c r="D792" s="2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ht="12.0" customHeight="1">
      <c r="A793" s="1"/>
      <c r="B793" s="1"/>
      <c r="C793" s="1"/>
      <c r="D793" s="2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ht="12.0" customHeight="1">
      <c r="A794" s="1"/>
      <c r="B794" s="1"/>
      <c r="C794" s="1"/>
      <c r="D794" s="2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ht="12.0" customHeight="1">
      <c r="A795" s="1"/>
      <c r="B795" s="1"/>
      <c r="C795" s="1"/>
      <c r="D795" s="2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ht="12.0" customHeight="1">
      <c r="A796" s="1"/>
      <c r="B796" s="1"/>
      <c r="C796" s="1"/>
      <c r="D796" s="2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ht="12.0" customHeight="1">
      <c r="A797" s="1"/>
      <c r="B797" s="1"/>
      <c r="C797" s="1"/>
      <c r="D797" s="2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ht="12.0" customHeight="1">
      <c r="A798" s="1"/>
      <c r="B798" s="1"/>
      <c r="C798" s="1"/>
      <c r="D798" s="2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ht="12.0" customHeight="1">
      <c r="A799" s="1"/>
      <c r="B799" s="1"/>
      <c r="C799" s="1"/>
      <c r="D799" s="2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ht="12.0" customHeight="1">
      <c r="A800" s="1"/>
      <c r="B800" s="1"/>
      <c r="C800" s="1"/>
      <c r="D800" s="2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ht="12.0" customHeight="1">
      <c r="A801" s="1"/>
      <c r="B801" s="1"/>
      <c r="C801" s="1"/>
      <c r="D801" s="2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ht="12.0" customHeight="1">
      <c r="A802" s="1"/>
      <c r="B802" s="1"/>
      <c r="C802" s="1"/>
      <c r="D802" s="2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ht="12.0" customHeight="1">
      <c r="A803" s="1"/>
      <c r="B803" s="1"/>
      <c r="C803" s="1"/>
      <c r="D803" s="2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ht="12.0" customHeight="1">
      <c r="A804" s="1"/>
      <c r="B804" s="1"/>
      <c r="C804" s="1"/>
      <c r="D804" s="2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ht="12.0" customHeight="1">
      <c r="A805" s="1"/>
      <c r="B805" s="1"/>
      <c r="C805" s="1"/>
      <c r="D805" s="2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ht="12.0" customHeight="1">
      <c r="A806" s="1"/>
      <c r="B806" s="1"/>
      <c r="C806" s="1"/>
      <c r="D806" s="2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ht="12.0" customHeight="1">
      <c r="A807" s="1"/>
      <c r="B807" s="1"/>
      <c r="C807" s="1"/>
      <c r="D807" s="2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ht="12.0" customHeight="1">
      <c r="A808" s="1"/>
      <c r="B808" s="1"/>
      <c r="C808" s="1"/>
      <c r="D808" s="2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ht="12.0" customHeight="1">
      <c r="A809" s="1"/>
      <c r="B809" s="1"/>
      <c r="C809" s="1"/>
      <c r="D809" s="2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ht="12.0" customHeight="1">
      <c r="A810" s="1"/>
      <c r="B810" s="1"/>
      <c r="C810" s="1"/>
      <c r="D810" s="2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ht="12.0" customHeight="1">
      <c r="A811" s="1"/>
      <c r="B811" s="1"/>
      <c r="C811" s="1"/>
      <c r="D811" s="2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ht="12.0" customHeight="1">
      <c r="A812" s="1"/>
      <c r="B812" s="1"/>
      <c r="C812" s="1"/>
      <c r="D812" s="2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ht="12.0" customHeight="1">
      <c r="A813" s="1"/>
      <c r="B813" s="1"/>
      <c r="C813" s="1"/>
      <c r="D813" s="2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ht="12.0" customHeight="1">
      <c r="A814" s="1"/>
      <c r="B814" s="1"/>
      <c r="C814" s="1"/>
      <c r="D814" s="2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ht="12.0" customHeight="1">
      <c r="A815" s="1"/>
      <c r="B815" s="1"/>
      <c r="C815" s="1"/>
      <c r="D815" s="2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ht="12.0" customHeight="1">
      <c r="A816" s="1"/>
      <c r="B816" s="1"/>
      <c r="C816" s="1"/>
      <c r="D816" s="2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ht="12.0" customHeight="1">
      <c r="A817" s="1"/>
      <c r="B817" s="1"/>
      <c r="C817" s="1"/>
      <c r="D817" s="2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ht="12.0" customHeight="1">
      <c r="A818" s="1"/>
      <c r="B818" s="1"/>
      <c r="C818" s="1"/>
      <c r="D818" s="2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ht="12.0" customHeight="1">
      <c r="A819" s="1"/>
      <c r="B819" s="1"/>
      <c r="C819" s="1"/>
      <c r="D819" s="2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ht="12.0" customHeight="1">
      <c r="A820" s="1"/>
      <c r="B820" s="1"/>
      <c r="C820" s="1"/>
      <c r="D820" s="2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ht="12.0" customHeight="1">
      <c r="A821" s="1"/>
      <c r="B821" s="1"/>
      <c r="C821" s="1"/>
      <c r="D821" s="2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ht="12.0" customHeight="1">
      <c r="A822" s="1"/>
      <c r="B822" s="1"/>
      <c r="C822" s="1"/>
      <c r="D822" s="2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ht="12.0" customHeight="1">
      <c r="A823" s="1"/>
      <c r="B823" s="1"/>
      <c r="C823" s="1"/>
      <c r="D823" s="2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ht="12.0" customHeight="1">
      <c r="A824" s="1"/>
      <c r="B824" s="1"/>
      <c r="C824" s="1"/>
      <c r="D824" s="2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ht="12.0" customHeight="1">
      <c r="A825" s="1"/>
      <c r="B825" s="1"/>
      <c r="C825" s="1"/>
      <c r="D825" s="2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ht="12.0" customHeight="1">
      <c r="A826" s="1"/>
      <c r="B826" s="1"/>
      <c r="C826" s="1"/>
      <c r="D826" s="2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ht="12.0" customHeight="1">
      <c r="A827" s="1"/>
      <c r="B827" s="1"/>
      <c r="C827" s="1"/>
      <c r="D827" s="2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ht="12.0" customHeight="1">
      <c r="A828" s="1"/>
      <c r="B828" s="1"/>
      <c r="C828" s="1"/>
      <c r="D828" s="2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ht="12.0" customHeight="1">
      <c r="A829" s="1"/>
      <c r="B829" s="1"/>
      <c r="C829" s="1"/>
      <c r="D829" s="2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ht="12.0" customHeight="1">
      <c r="A830" s="1"/>
      <c r="B830" s="1"/>
      <c r="C830" s="1"/>
      <c r="D830" s="2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ht="12.0" customHeight="1">
      <c r="A831" s="1"/>
      <c r="B831" s="1"/>
      <c r="C831" s="1"/>
      <c r="D831" s="2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ht="12.0" customHeight="1">
      <c r="A832" s="1"/>
      <c r="B832" s="1"/>
      <c r="C832" s="1"/>
      <c r="D832" s="2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ht="12.0" customHeight="1">
      <c r="A833" s="1"/>
      <c r="B833" s="1"/>
      <c r="C833" s="1"/>
      <c r="D833" s="2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ht="12.0" customHeight="1">
      <c r="A834" s="1"/>
      <c r="B834" s="1"/>
      <c r="C834" s="1"/>
      <c r="D834" s="2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ht="12.0" customHeight="1">
      <c r="A835" s="1"/>
      <c r="B835" s="1"/>
      <c r="C835" s="1"/>
      <c r="D835" s="2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ht="12.0" customHeight="1">
      <c r="A836" s="1"/>
      <c r="B836" s="1"/>
      <c r="C836" s="1"/>
      <c r="D836" s="2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ht="12.0" customHeight="1">
      <c r="A837" s="1"/>
      <c r="B837" s="1"/>
      <c r="C837" s="1"/>
      <c r="D837" s="2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ht="12.0" customHeight="1">
      <c r="A838" s="1"/>
      <c r="B838" s="1"/>
      <c r="C838" s="1"/>
      <c r="D838" s="2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ht="12.0" customHeight="1">
      <c r="A839" s="1"/>
      <c r="B839" s="1"/>
      <c r="C839" s="1"/>
      <c r="D839" s="2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ht="12.0" customHeight="1">
      <c r="A840" s="1"/>
      <c r="B840" s="1"/>
      <c r="C840" s="1"/>
      <c r="D840" s="2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ht="12.0" customHeight="1">
      <c r="A841" s="1"/>
      <c r="B841" s="1"/>
      <c r="C841" s="1"/>
      <c r="D841" s="2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ht="12.0" customHeight="1">
      <c r="A842" s="1"/>
      <c r="B842" s="1"/>
      <c r="C842" s="1"/>
      <c r="D842" s="2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ht="12.0" customHeight="1">
      <c r="A843" s="1"/>
      <c r="B843" s="1"/>
      <c r="C843" s="1"/>
      <c r="D843" s="2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ht="12.0" customHeight="1">
      <c r="A844" s="1"/>
      <c r="B844" s="1"/>
      <c r="C844" s="1"/>
      <c r="D844" s="2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ht="12.0" customHeight="1">
      <c r="A845" s="1"/>
      <c r="B845" s="1"/>
      <c r="C845" s="1"/>
      <c r="D845" s="2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ht="12.0" customHeight="1">
      <c r="A846" s="1"/>
      <c r="B846" s="1"/>
      <c r="C846" s="1"/>
      <c r="D846" s="2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ht="12.0" customHeight="1">
      <c r="A847" s="1"/>
      <c r="B847" s="1"/>
      <c r="C847" s="1"/>
      <c r="D847" s="2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ht="12.0" customHeight="1">
      <c r="A848" s="1"/>
      <c r="B848" s="1"/>
      <c r="C848" s="1"/>
      <c r="D848" s="2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ht="12.0" customHeight="1">
      <c r="A849" s="1"/>
      <c r="B849" s="1"/>
      <c r="C849" s="1"/>
      <c r="D849" s="2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ht="12.0" customHeight="1">
      <c r="A850" s="1"/>
      <c r="B850" s="1"/>
      <c r="C850" s="1"/>
      <c r="D850" s="2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ht="12.0" customHeight="1">
      <c r="A851" s="1"/>
      <c r="B851" s="1"/>
      <c r="C851" s="1"/>
      <c r="D851" s="2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ht="12.0" customHeight="1">
      <c r="A852" s="1"/>
      <c r="B852" s="1"/>
      <c r="C852" s="1"/>
      <c r="D852" s="2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ht="12.0" customHeight="1">
      <c r="A853" s="1"/>
      <c r="B853" s="1"/>
      <c r="C853" s="1"/>
      <c r="D853" s="2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ht="12.0" customHeight="1">
      <c r="A854" s="1"/>
      <c r="B854" s="1"/>
      <c r="C854" s="1"/>
      <c r="D854" s="2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ht="12.0" customHeight="1">
      <c r="A855" s="1"/>
      <c r="B855" s="1"/>
      <c r="C855" s="1"/>
      <c r="D855" s="2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ht="12.0" customHeight="1">
      <c r="A856" s="1"/>
      <c r="B856" s="1"/>
      <c r="C856" s="1"/>
      <c r="D856" s="2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ht="12.0" customHeight="1">
      <c r="A857" s="1"/>
      <c r="B857" s="1"/>
      <c r="C857" s="1"/>
      <c r="D857" s="2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ht="12.0" customHeight="1">
      <c r="A858" s="1"/>
      <c r="B858" s="1"/>
      <c r="C858" s="1"/>
      <c r="D858" s="2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ht="12.0" customHeight="1">
      <c r="A859" s="1"/>
      <c r="B859" s="1"/>
      <c r="C859" s="1"/>
      <c r="D859" s="2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ht="12.0" customHeight="1">
      <c r="A860" s="1"/>
      <c r="B860" s="1"/>
      <c r="C860" s="1"/>
      <c r="D860" s="2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ht="12.0" customHeight="1">
      <c r="A861" s="1"/>
      <c r="B861" s="1"/>
      <c r="C861" s="1"/>
      <c r="D861" s="2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ht="12.0" customHeight="1">
      <c r="A862" s="1"/>
      <c r="B862" s="1"/>
      <c r="C862" s="1"/>
      <c r="D862" s="2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ht="12.0" customHeight="1">
      <c r="A863" s="1"/>
      <c r="B863" s="1"/>
      <c r="C863" s="1"/>
      <c r="D863" s="2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ht="12.0" customHeight="1">
      <c r="A864" s="1"/>
      <c r="B864" s="1"/>
      <c r="C864" s="1"/>
      <c r="D864" s="2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ht="12.0" customHeight="1">
      <c r="A865" s="1"/>
      <c r="B865" s="1"/>
      <c r="C865" s="1"/>
      <c r="D865" s="2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ht="12.0" customHeight="1">
      <c r="A866" s="1"/>
      <c r="B866" s="1"/>
      <c r="C866" s="1"/>
      <c r="D866" s="2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ht="12.0" customHeight="1">
      <c r="A867" s="1"/>
      <c r="B867" s="1"/>
      <c r="C867" s="1"/>
      <c r="D867" s="2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ht="12.0" customHeight="1">
      <c r="A868" s="1"/>
      <c r="B868" s="1"/>
      <c r="C868" s="1"/>
      <c r="D868" s="2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ht="12.0" customHeight="1">
      <c r="A869" s="1"/>
      <c r="B869" s="1"/>
      <c r="C869" s="1"/>
      <c r="D869" s="2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ht="12.0" customHeight="1">
      <c r="A870" s="1"/>
      <c r="B870" s="1"/>
      <c r="C870" s="1"/>
      <c r="D870" s="2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ht="12.0" customHeight="1">
      <c r="A871" s="1"/>
      <c r="B871" s="1"/>
      <c r="C871" s="1"/>
      <c r="D871" s="2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ht="12.0" customHeight="1">
      <c r="A872" s="1"/>
      <c r="B872" s="1"/>
      <c r="C872" s="1"/>
      <c r="D872" s="2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ht="12.0" customHeight="1">
      <c r="A873" s="1"/>
      <c r="B873" s="1"/>
      <c r="C873" s="1"/>
      <c r="D873" s="2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ht="12.0" customHeight="1">
      <c r="A874" s="1"/>
      <c r="B874" s="1"/>
      <c r="C874" s="1"/>
      <c r="D874" s="2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ht="12.0" customHeight="1">
      <c r="A875" s="1"/>
      <c r="B875" s="1"/>
      <c r="C875" s="1"/>
      <c r="D875" s="2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ht="12.0" customHeight="1">
      <c r="A876" s="1"/>
      <c r="B876" s="1"/>
      <c r="C876" s="1"/>
      <c r="D876" s="2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ht="12.0" customHeight="1">
      <c r="A877" s="1"/>
      <c r="B877" s="1"/>
      <c r="C877" s="1"/>
      <c r="D877" s="2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ht="12.0" customHeight="1">
      <c r="A878" s="1"/>
      <c r="B878" s="1"/>
      <c r="C878" s="1"/>
      <c r="D878" s="2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ht="12.0" customHeight="1">
      <c r="A879" s="1"/>
      <c r="B879" s="1"/>
      <c r="C879" s="1"/>
      <c r="D879" s="2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ht="12.0" customHeight="1">
      <c r="A880" s="1"/>
      <c r="B880" s="1"/>
      <c r="C880" s="1"/>
      <c r="D880" s="2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ht="12.0" customHeight="1">
      <c r="A881" s="1"/>
      <c r="B881" s="1"/>
      <c r="C881" s="1"/>
      <c r="D881" s="2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ht="12.0" customHeight="1">
      <c r="A882" s="1"/>
      <c r="B882" s="1"/>
      <c r="C882" s="1"/>
      <c r="D882" s="2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ht="12.0" customHeight="1">
      <c r="A883" s="1"/>
      <c r="B883" s="1"/>
      <c r="C883" s="1"/>
      <c r="D883" s="2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ht="12.0" customHeight="1">
      <c r="A884" s="1"/>
      <c r="B884" s="1"/>
      <c r="C884" s="1"/>
      <c r="D884" s="2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ht="12.0" customHeight="1">
      <c r="A885" s="1"/>
      <c r="B885" s="1"/>
      <c r="C885" s="1"/>
      <c r="D885" s="2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ht="12.0" customHeight="1">
      <c r="A886" s="1"/>
      <c r="B886" s="1"/>
      <c r="C886" s="1"/>
      <c r="D886" s="2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ht="12.0" customHeight="1">
      <c r="A887" s="1"/>
      <c r="B887" s="1"/>
      <c r="C887" s="1"/>
      <c r="D887" s="2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ht="12.0" customHeight="1">
      <c r="A888" s="1"/>
      <c r="B888" s="1"/>
      <c r="C888" s="1"/>
      <c r="D888" s="2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ht="12.0" customHeight="1">
      <c r="A889" s="1"/>
      <c r="B889" s="1"/>
      <c r="C889" s="1"/>
      <c r="D889" s="2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ht="12.0" customHeight="1">
      <c r="A890" s="1"/>
      <c r="B890" s="1"/>
      <c r="C890" s="1"/>
      <c r="D890" s="2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ht="12.0" customHeight="1">
      <c r="A891" s="1"/>
      <c r="B891" s="1"/>
      <c r="C891" s="1"/>
      <c r="D891" s="2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ht="12.0" customHeight="1">
      <c r="A892" s="1"/>
      <c r="B892" s="1"/>
      <c r="C892" s="1"/>
      <c r="D892" s="2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ht="12.0" customHeight="1">
      <c r="A893" s="1"/>
      <c r="B893" s="1"/>
      <c r="C893" s="1"/>
      <c r="D893" s="2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ht="12.0" customHeight="1">
      <c r="A894" s="1"/>
      <c r="B894" s="1"/>
      <c r="C894" s="1"/>
      <c r="D894" s="2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ht="12.0" customHeight="1">
      <c r="A895" s="1"/>
      <c r="B895" s="1"/>
      <c r="C895" s="1"/>
      <c r="D895" s="2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ht="12.0" customHeight="1">
      <c r="A896" s="1"/>
      <c r="B896" s="1"/>
      <c r="C896" s="1"/>
      <c r="D896" s="2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ht="12.0" customHeight="1">
      <c r="A897" s="1"/>
      <c r="B897" s="1"/>
      <c r="C897" s="1"/>
      <c r="D897" s="2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ht="12.0" customHeight="1">
      <c r="A898" s="1"/>
      <c r="B898" s="1"/>
      <c r="C898" s="1"/>
      <c r="D898" s="2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ht="12.0" customHeight="1">
      <c r="A899" s="1"/>
      <c r="B899" s="1"/>
      <c r="C899" s="1"/>
      <c r="D899" s="2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ht="12.0" customHeight="1">
      <c r="A900" s="1"/>
      <c r="B900" s="1"/>
      <c r="C900" s="1"/>
      <c r="D900" s="2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ht="12.0" customHeight="1">
      <c r="A901" s="1"/>
      <c r="B901" s="1"/>
      <c r="C901" s="1"/>
      <c r="D901" s="2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ht="12.0" customHeight="1">
      <c r="A902" s="1"/>
      <c r="B902" s="1"/>
      <c r="C902" s="1"/>
      <c r="D902" s="2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ht="12.0" customHeight="1">
      <c r="A903" s="1"/>
      <c r="B903" s="1"/>
      <c r="C903" s="1"/>
      <c r="D903" s="2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ht="12.0" customHeight="1">
      <c r="A904" s="1"/>
      <c r="B904" s="1"/>
      <c r="C904" s="1"/>
      <c r="D904" s="2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ht="12.0" customHeight="1">
      <c r="A905" s="1"/>
      <c r="B905" s="1"/>
      <c r="C905" s="1"/>
      <c r="D905" s="2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ht="12.0" customHeight="1">
      <c r="A906" s="1"/>
      <c r="B906" s="1"/>
      <c r="C906" s="1"/>
      <c r="D906" s="2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ht="12.0" customHeight="1">
      <c r="A907" s="1"/>
      <c r="B907" s="1"/>
      <c r="C907" s="1"/>
      <c r="D907" s="2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ht="12.0" customHeight="1">
      <c r="A908" s="1"/>
      <c r="B908" s="1"/>
      <c r="C908" s="1"/>
      <c r="D908" s="2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ht="12.0" customHeight="1">
      <c r="A909" s="1"/>
      <c r="B909" s="1"/>
      <c r="C909" s="1"/>
      <c r="D909" s="2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ht="12.0" customHeight="1">
      <c r="A910" s="1"/>
      <c r="B910" s="1"/>
      <c r="C910" s="1"/>
      <c r="D910" s="2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ht="12.0" customHeight="1">
      <c r="A911" s="1"/>
      <c r="B911" s="1"/>
      <c r="C911" s="1"/>
      <c r="D911" s="2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ht="12.0" customHeight="1">
      <c r="A912" s="1"/>
      <c r="B912" s="1"/>
      <c r="C912" s="1"/>
      <c r="D912" s="2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ht="12.0" customHeight="1">
      <c r="A913" s="1"/>
      <c r="B913" s="1"/>
      <c r="C913" s="1"/>
      <c r="D913" s="2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ht="12.0" customHeight="1">
      <c r="A914" s="1"/>
      <c r="B914" s="1"/>
      <c r="C914" s="1"/>
      <c r="D914" s="2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ht="12.0" customHeight="1">
      <c r="A915" s="1"/>
      <c r="B915" s="1"/>
      <c r="C915" s="1"/>
      <c r="D915" s="2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ht="12.0" customHeight="1">
      <c r="A916" s="1"/>
      <c r="B916" s="1"/>
      <c r="C916" s="1"/>
      <c r="D916" s="2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ht="12.0" customHeight="1">
      <c r="A917" s="1"/>
      <c r="B917" s="1"/>
      <c r="C917" s="1"/>
      <c r="D917" s="2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ht="12.0" customHeight="1">
      <c r="A918" s="1"/>
      <c r="B918" s="1"/>
      <c r="C918" s="1"/>
      <c r="D918" s="2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ht="12.0" customHeight="1">
      <c r="A919" s="1"/>
      <c r="B919" s="1"/>
      <c r="C919" s="1"/>
      <c r="D919" s="2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ht="12.0" customHeight="1">
      <c r="A920" s="1"/>
      <c r="B920" s="1"/>
      <c r="C920" s="1"/>
      <c r="D920" s="2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ht="12.0" customHeight="1">
      <c r="A921" s="1"/>
      <c r="B921" s="1"/>
      <c r="C921" s="1"/>
      <c r="D921" s="2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ht="12.0" customHeight="1">
      <c r="A922" s="1"/>
      <c r="B922" s="1"/>
      <c r="C922" s="1"/>
      <c r="D922" s="2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ht="12.0" customHeight="1">
      <c r="A923" s="1"/>
      <c r="B923" s="1"/>
      <c r="C923" s="1"/>
      <c r="D923" s="2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ht="12.0" customHeight="1">
      <c r="A924" s="1"/>
      <c r="B924" s="1"/>
      <c r="C924" s="1"/>
      <c r="D924" s="2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ht="12.0" customHeight="1">
      <c r="A925" s="1"/>
      <c r="B925" s="1"/>
      <c r="C925" s="1"/>
      <c r="D925" s="2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ht="12.0" customHeight="1">
      <c r="A926" s="1"/>
      <c r="B926" s="1"/>
      <c r="C926" s="1"/>
      <c r="D926" s="2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ht="12.0" customHeight="1">
      <c r="A927" s="1"/>
      <c r="B927" s="1"/>
      <c r="C927" s="1"/>
      <c r="D927" s="2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ht="12.0" customHeight="1">
      <c r="A928" s="1"/>
      <c r="B928" s="1"/>
      <c r="C928" s="1"/>
      <c r="D928" s="2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ht="12.0" customHeight="1">
      <c r="A929" s="1"/>
      <c r="B929" s="1"/>
      <c r="C929" s="1"/>
      <c r="D929" s="2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ht="12.0" customHeight="1">
      <c r="A930" s="1"/>
      <c r="B930" s="1"/>
      <c r="C930" s="1"/>
      <c r="D930" s="2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ht="12.0" customHeight="1">
      <c r="A931" s="1"/>
      <c r="B931" s="1"/>
      <c r="C931" s="1"/>
      <c r="D931" s="2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ht="12.0" customHeight="1">
      <c r="A932" s="1"/>
      <c r="B932" s="1"/>
      <c r="C932" s="1"/>
      <c r="D932" s="2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ht="12.0" customHeight="1">
      <c r="A933" s="1"/>
      <c r="B933" s="1"/>
      <c r="C933" s="1"/>
      <c r="D933" s="2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ht="12.0" customHeight="1">
      <c r="A934" s="1"/>
      <c r="B934" s="1"/>
      <c r="C934" s="1"/>
      <c r="D934" s="2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ht="12.0" customHeight="1">
      <c r="A935" s="1"/>
      <c r="B935" s="1"/>
      <c r="C935" s="1"/>
      <c r="D935" s="2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ht="12.0" customHeight="1">
      <c r="A936" s="1"/>
      <c r="B936" s="1"/>
      <c r="C936" s="1"/>
      <c r="D936" s="2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ht="12.0" customHeight="1">
      <c r="A937" s="1"/>
      <c r="B937" s="1"/>
      <c r="C937" s="1"/>
      <c r="D937" s="2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ht="12.0" customHeight="1">
      <c r="A938" s="1"/>
      <c r="B938" s="1"/>
      <c r="C938" s="1"/>
      <c r="D938" s="2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ht="12.0" customHeight="1">
      <c r="A939" s="1"/>
      <c r="B939" s="1"/>
      <c r="C939" s="1"/>
      <c r="D939" s="2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ht="12.0" customHeight="1">
      <c r="A940" s="1"/>
      <c r="B940" s="1"/>
      <c r="C940" s="1"/>
      <c r="D940" s="2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ht="12.0" customHeight="1">
      <c r="A941" s="1"/>
      <c r="B941" s="1"/>
      <c r="C941" s="1"/>
      <c r="D941" s="2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ht="12.0" customHeight="1">
      <c r="A942" s="1"/>
      <c r="B942" s="1"/>
      <c r="C942" s="1"/>
      <c r="D942" s="2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ht="12.0" customHeight="1">
      <c r="A943" s="1"/>
      <c r="B943" s="1"/>
      <c r="C943" s="1"/>
      <c r="D943" s="2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ht="12.0" customHeight="1">
      <c r="A944" s="1"/>
      <c r="B944" s="1"/>
      <c r="C944" s="1"/>
      <c r="D944" s="2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ht="12.0" customHeight="1">
      <c r="A945" s="1"/>
      <c r="B945" s="1"/>
      <c r="C945" s="1"/>
      <c r="D945" s="2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ht="12.0" customHeight="1">
      <c r="A946" s="1"/>
      <c r="B946" s="1"/>
      <c r="C946" s="1"/>
      <c r="D946" s="2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ht="12.0" customHeight="1">
      <c r="A947" s="1"/>
      <c r="B947" s="1"/>
      <c r="C947" s="1"/>
      <c r="D947" s="2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ht="12.0" customHeight="1">
      <c r="A948" s="1"/>
      <c r="B948" s="1"/>
      <c r="C948" s="1"/>
      <c r="D948" s="2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ht="12.0" customHeight="1">
      <c r="A949" s="1"/>
      <c r="B949" s="1"/>
      <c r="C949" s="1"/>
      <c r="D949" s="2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ht="12.0" customHeight="1">
      <c r="A950" s="1"/>
      <c r="B950" s="1"/>
      <c r="C950" s="1"/>
      <c r="D950" s="2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ht="12.0" customHeight="1">
      <c r="A951" s="1"/>
      <c r="B951" s="1"/>
      <c r="C951" s="1"/>
      <c r="D951" s="2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ht="12.0" customHeight="1">
      <c r="A952" s="1"/>
      <c r="B952" s="1"/>
      <c r="C952" s="1"/>
      <c r="D952" s="2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ht="12.0" customHeight="1">
      <c r="A953" s="1"/>
      <c r="B953" s="1"/>
      <c r="C953" s="1"/>
      <c r="D953" s="2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ht="12.0" customHeight="1">
      <c r="A954" s="1"/>
      <c r="B954" s="1"/>
      <c r="C954" s="1"/>
      <c r="D954" s="2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ht="12.0" customHeight="1">
      <c r="A955" s="1"/>
      <c r="B955" s="1"/>
      <c r="C955" s="1"/>
      <c r="D955" s="2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ht="12.0" customHeight="1">
      <c r="A956" s="1"/>
      <c r="B956" s="1"/>
      <c r="C956" s="1"/>
      <c r="D956" s="2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ht="12.0" customHeight="1">
      <c r="A957" s="1"/>
      <c r="B957" s="1"/>
      <c r="C957" s="1"/>
      <c r="D957" s="2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ht="12.0" customHeight="1">
      <c r="A958" s="1"/>
      <c r="B958" s="1"/>
      <c r="C958" s="1"/>
      <c r="D958" s="2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ht="12.0" customHeight="1">
      <c r="A959" s="1"/>
      <c r="B959" s="1"/>
      <c r="C959" s="1"/>
      <c r="D959" s="2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ht="12.0" customHeight="1">
      <c r="A960" s="1"/>
      <c r="B960" s="1"/>
      <c r="C960" s="1"/>
      <c r="D960" s="2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ht="12.0" customHeight="1">
      <c r="A961" s="1"/>
      <c r="B961" s="1"/>
      <c r="C961" s="1"/>
      <c r="D961" s="2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ht="12.0" customHeight="1">
      <c r="A962" s="1"/>
      <c r="B962" s="1"/>
      <c r="C962" s="1"/>
      <c r="D962" s="2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ht="12.0" customHeight="1">
      <c r="A963" s="1"/>
      <c r="B963" s="1"/>
      <c r="C963" s="1"/>
      <c r="D963" s="2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ht="12.0" customHeight="1">
      <c r="A964" s="1"/>
      <c r="B964" s="1"/>
      <c r="C964" s="1"/>
      <c r="D964" s="2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ht="12.0" customHeight="1">
      <c r="A965" s="1"/>
      <c r="B965" s="1"/>
      <c r="C965" s="1"/>
      <c r="D965" s="2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ht="12.0" customHeight="1">
      <c r="A966" s="1"/>
      <c r="B966" s="1"/>
      <c r="C966" s="1"/>
      <c r="D966" s="2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ht="12.0" customHeight="1">
      <c r="A967" s="1"/>
      <c r="B967" s="1"/>
      <c r="C967" s="1"/>
      <c r="D967" s="2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ht="12.0" customHeight="1">
      <c r="A968" s="1"/>
      <c r="B968" s="1"/>
      <c r="C968" s="1"/>
      <c r="D968" s="2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ht="12.0" customHeight="1">
      <c r="A969" s="1"/>
      <c r="B969" s="1"/>
      <c r="C969" s="1"/>
      <c r="D969" s="2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ht="12.0" customHeight="1">
      <c r="A970" s="1"/>
      <c r="B970" s="1"/>
      <c r="C970" s="1"/>
      <c r="D970" s="2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ht="12.0" customHeight="1">
      <c r="A971" s="1"/>
      <c r="B971" s="1"/>
      <c r="C971" s="1"/>
      <c r="D971" s="2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ht="12.0" customHeight="1">
      <c r="A972" s="1"/>
      <c r="B972" s="1"/>
      <c r="C972" s="1"/>
      <c r="D972" s="2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ht="12.0" customHeight="1">
      <c r="A973" s="1"/>
      <c r="B973" s="1"/>
      <c r="C973" s="1"/>
      <c r="D973" s="2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ht="12.0" customHeight="1">
      <c r="A974" s="1"/>
      <c r="B974" s="1"/>
      <c r="C974" s="1"/>
      <c r="D974" s="2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ht="12.0" customHeight="1">
      <c r="A975" s="1"/>
      <c r="B975" s="1"/>
      <c r="C975" s="1"/>
      <c r="D975" s="2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ht="12.0" customHeight="1">
      <c r="A976" s="1"/>
      <c r="B976" s="1"/>
      <c r="C976" s="1"/>
      <c r="D976" s="2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ht="12.0" customHeight="1">
      <c r="A977" s="1"/>
      <c r="B977" s="1"/>
      <c r="C977" s="1"/>
      <c r="D977" s="2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ht="12.0" customHeight="1">
      <c r="A978" s="1"/>
      <c r="B978" s="1"/>
      <c r="C978" s="1"/>
      <c r="D978" s="2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ht="12.0" customHeight="1">
      <c r="A979" s="1"/>
      <c r="B979" s="1"/>
      <c r="C979" s="1"/>
      <c r="D979" s="2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ht="12.0" customHeight="1">
      <c r="A980" s="1"/>
      <c r="B980" s="1"/>
      <c r="C980" s="1"/>
      <c r="D980" s="2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ht="12.0" customHeight="1">
      <c r="A981" s="1"/>
      <c r="B981" s="1"/>
      <c r="C981" s="1"/>
      <c r="D981" s="2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ht="12.0" customHeight="1">
      <c r="A982" s="1"/>
      <c r="B982" s="1"/>
      <c r="C982" s="1"/>
      <c r="D982" s="2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ht="12.0" customHeight="1">
      <c r="A983" s="1"/>
      <c r="B983" s="1"/>
      <c r="C983" s="1"/>
      <c r="D983" s="2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ht="12.0" customHeight="1">
      <c r="A984" s="1"/>
      <c r="B984" s="1"/>
      <c r="C984" s="1"/>
      <c r="D984" s="2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ht="12.0" customHeight="1">
      <c r="A985" s="1"/>
      <c r="B985" s="1"/>
      <c r="C985" s="1"/>
      <c r="D985" s="2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ht="12.0" customHeight="1">
      <c r="A986" s="1"/>
      <c r="B986" s="1"/>
      <c r="C986" s="1"/>
      <c r="D986" s="2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ht="12.0" customHeight="1">
      <c r="A987" s="1"/>
      <c r="B987" s="1"/>
      <c r="C987" s="1"/>
      <c r="D987" s="2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ht="12.0" customHeight="1">
      <c r="A988" s="1"/>
      <c r="B988" s="1"/>
      <c r="C988" s="1"/>
      <c r="D988" s="2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ht="12.0" customHeight="1">
      <c r="A989" s="1"/>
      <c r="B989" s="1"/>
      <c r="C989" s="1"/>
      <c r="D989" s="2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ht="12.0" customHeight="1">
      <c r="A990" s="1"/>
      <c r="B990" s="1"/>
      <c r="C990" s="1"/>
      <c r="D990" s="2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ht="12.0" customHeight="1">
      <c r="A991" s="1"/>
      <c r="B991" s="1"/>
      <c r="C991" s="1"/>
      <c r="D991" s="2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ht="12.0" customHeight="1">
      <c r="A992" s="1"/>
      <c r="B992" s="1"/>
      <c r="C992" s="1"/>
      <c r="D992" s="2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ht="12.0" customHeight="1">
      <c r="A993" s="1"/>
      <c r="B993" s="1"/>
      <c r="C993" s="1"/>
      <c r="D993" s="2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ht="12.0" customHeight="1">
      <c r="A994" s="1"/>
      <c r="B994" s="1"/>
      <c r="C994" s="1"/>
      <c r="D994" s="2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ht="12.0" customHeight="1">
      <c r="A995" s="1"/>
      <c r="B995" s="1"/>
      <c r="C995" s="1"/>
      <c r="D995" s="2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ht="12.0" customHeight="1">
      <c r="A996" s="1"/>
      <c r="B996" s="1"/>
      <c r="C996" s="1"/>
      <c r="D996" s="2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ht="12.0" customHeight="1">
      <c r="A997" s="1"/>
      <c r="B997" s="1"/>
      <c r="C997" s="1"/>
      <c r="D997" s="2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ht="12.0" customHeight="1">
      <c r="A998" s="1"/>
      <c r="B998" s="1"/>
      <c r="C998" s="1"/>
      <c r="D998" s="2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ht="12.0" customHeight="1">
      <c r="A999" s="1"/>
      <c r="B999" s="1"/>
      <c r="C999" s="1"/>
      <c r="D999" s="2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ht="12.0" customHeight="1">
      <c r="A1000" s="1"/>
      <c r="B1000" s="1"/>
      <c r="C1000" s="1"/>
      <c r="D1000" s="2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mergeCells count="9">
    <mergeCell ref="C30:C35"/>
    <mergeCell ref="C36:C41"/>
    <mergeCell ref="B6:B12"/>
    <mergeCell ref="C6:C11"/>
    <mergeCell ref="B13:B17"/>
    <mergeCell ref="C13:C17"/>
    <mergeCell ref="B18:B41"/>
    <mergeCell ref="C18:C23"/>
    <mergeCell ref="C24:C2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54" t="s">
        <v>94</v>
      </c>
      <c r="B1" s="55">
        <v>102763.0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4" width="11.43"/>
    <col customWidth="1" min="5" max="11" width="12.14"/>
    <col customWidth="1" min="12" max="16" width="13.57"/>
    <col customWidth="1" min="17" max="37" width="13.0"/>
  </cols>
  <sheetData>
    <row r="1" ht="14.25" customHeight="1"/>
    <row r="2" ht="14.25" customHeight="1">
      <c r="A2" s="56" t="s">
        <v>95</v>
      </c>
      <c r="B2" s="57" t="s">
        <v>96</v>
      </c>
      <c r="C2" s="57" t="s">
        <v>97</v>
      </c>
      <c r="D2" s="57" t="s">
        <v>98</v>
      </c>
      <c r="E2" s="57" t="s">
        <v>99</v>
      </c>
      <c r="F2" s="57" t="s">
        <v>100</v>
      </c>
      <c r="G2" s="57" t="s">
        <v>101</v>
      </c>
      <c r="H2" s="57" t="s">
        <v>102</v>
      </c>
      <c r="I2" s="57" t="s">
        <v>103</v>
      </c>
      <c r="J2" s="57" t="s">
        <v>104</v>
      </c>
      <c r="K2" s="57" t="s">
        <v>105</v>
      </c>
      <c r="L2" s="57" t="s">
        <v>106</v>
      </c>
      <c r="M2" s="57" t="s">
        <v>107</v>
      </c>
      <c r="N2" s="57" t="s">
        <v>108</v>
      </c>
      <c r="O2" s="57" t="s">
        <v>109</v>
      </c>
      <c r="P2" s="57" t="s">
        <v>110</v>
      </c>
      <c r="Q2" s="57" t="s">
        <v>111</v>
      </c>
      <c r="R2" s="57" t="s">
        <v>112</v>
      </c>
      <c r="S2" s="57" t="s">
        <v>113</v>
      </c>
      <c r="T2" s="57" t="s">
        <v>114</v>
      </c>
      <c r="U2" s="57" t="s">
        <v>115</v>
      </c>
      <c r="V2" s="57" t="s">
        <v>116</v>
      </c>
      <c r="W2" s="57" t="s">
        <v>117</v>
      </c>
      <c r="X2" s="57" t="s">
        <v>118</v>
      </c>
      <c r="Y2" s="57" t="s">
        <v>119</v>
      </c>
      <c r="Z2" s="57" t="s">
        <v>120</v>
      </c>
      <c r="AA2" s="57" t="s">
        <v>121</v>
      </c>
      <c r="AB2" s="57" t="s">
        <v>122</v>
      </c>
      <c r="AC2" s="57" t="s">
        <v>123</v>
      </c>
      <c r="AD2" s="57" t="s">
        <v>124</v>
      </c>
      <c r="AE2" s="57" t="s">
        <v>125</v>
      </c>
      <c r="AF2" s="57" t="s">
        <v>126</v>
      </c>
      <c r="AG2" s="57" t="s">
        <v>127</v>
      </c>
      <c r="AH2" s="57" t="s">
        <v>128</v>
      </c>
      <c r="AI2" s="57" t="s">
        <v>129</v>
      </c>
      <c r="AJ2" s="57" t="s">
        <v>130</v>
      </c>
      <c r="AK2" s="57" t="s">
        <v>131</v>
      </c>
    </row>
    <row r="3" ht="14.25" customHeight="1">
      <c r="A3" s="56" t="s">
        <v>132</v>
      </c>
      <c r="B3" s="58">
        <f>SUM(BOM_full!K6:K11)</f>
        <v>28912.745</v>
      </c>
      <c r="C3" s="58">
        <f>SUM(BOM_full!L6:L11)</f>
        <v>28912.745</v>
      </c>
      <c r="D3" s="58">
        <f>SUM(BOM_full!M6:M11)</f>
        <v>28912.745</v>
      </c>
      <c r="E3" s="58">
        <f>SUM(BOM_full!N6:N11)</f>
        <v>28912.745</v>
      </c>
      <c r="F3" s="58">
        <f>SUM(BOM_full!O6:O11)</f>
        <v>28912.745</v>
      </c>
      <c r="G3" s="58">
        <f>SUM(BOM_full!P6:P11)</f>
        <v>28912.745</v>
      </c>
      <c r="H3" s="58">
        <f>SUM(BOM_full!Q6:Q11)</f>
        <v>28912.745</v>
      </c>
      <c r="I3" s="58">
        <f>SUM(BOM_full!R6:R11)</f>
        <v>28912.745</v>
      </c>
      <c r="J3" s="58">
        <f>SUM(BOM_full!S6:S11)</f>
        <v>28912.745</v>
      </c>
      <c r="K3" s="58">
        <f>SUM(BOM_full!T6:T11)</f>
        <v>28912.745</v>
      </c>
      <c r="L3" s="58">
        <f>SUM(BOM_full!U6:U11)</f>
        <v>28912.745</v>
      </c>
      <c r="M3" s="58">
        <f>SUM(BOM_full!V6:V11)</f>
        <v>28912.745</v>
      </c>
      <c r="N3" s="58">
        <f>SUM(BOM_full!W6:W11)</f>
        <v>28912.745</v>
      </c>
      <c r="O3" s="58">
        <f>SUM(BOM_full!X6:X11)</f>
        <v>28912.745</v>
      </c>
      <c r="P3" s="58">
        <f>SUM(BOM_full!Y6:Y11)</f>
        <v>28912.745</v>
      </c>
      <c r="Q3" s="58">
        <f>SUM(BOM_full!Z6:Z11)</f>
        <v>28912.745</v>
      </c>
      <c r="R3" s="58">
        <f>SUM(BOM_full!AA6:AA11)</f>
        <v>28912.745</v>
      </c>
      <c r="S3" s="58">
        <f>SUM(BOM_full!AB6:AB11)</f>
        <v>28912.745</v>
      </c>
      <c r="T3" s="58">
        <f>SUM(BOM_full!AC6:AC11)</f>
        <v>28912.745</v>
      </c>
      <c r="U3" s="58">
        <f>SUM(BOM_full!AD6:AD11)</f>
        <v>28912.745</v>
      </c>
      <c r="V3" s="58">
        <f>SUM(BOM_full!AE6:AE11)</f>
        <v>28912.745</v>
      </c>
      <c r="W3" s="58">
        <f>SUM(BOM_full!AF6:AF11)</f>
        <v>28912.745</v>
      </c>
      <c r="X3" s="58">
        <f>SUM(BOM_full!AG6:AG11)</f>
        <v>28912.745</v>
      </c>
      <c r="Y3" s="58">
        <f>SUM(BOM_full!AH6:AH11)</f>
        <v>28912.745</v>
      </c>
      <c r="Z3" s="58">
        <f>SUM(BOM_full!AI6:AI11)</f>
        <v>28912.745</v>
      </c>
      <c r="AA3" s="58">
        <f>SUM(BOM_full!AJ6:AJ11)</f>
        <v>28912.745</v>
      </c>
      <c r="AB3" s="58">
        <f>SUM(BOM_full!AK6:AK11)</f>
        <v>28912.745</v>
      </c>
      <c r="AC3" s="58">
        <f>SUM(BOM_full!AL6:AL11)</f>
        <v>28912.745</v>
      </c>
      <c r="AD3" s="58">
        <f>SUM(BOM_full!AM6:AM11)</f>
        <v>28912.745</v>
      </c>
      <c r="AE3" s="58">
        <f>SUM(BOM_full!AN6:AN11)</f>
        <v>28912.745</v>
      </c>
      <c r="AF3" s="58">
        <f>SUM(BOM_full!AO6:AO11)</f>
        <v>28912.745</v>
      </c>
      <c r="AG3" s="58">
        <f>SUM(BOM_full!AP6:AP11)</f>
        <v>28912.745</v>
      </c>
      <c r="AH3" s="58">
        <f>SUM(BOM_full!AQ6:AQ11)</f>
        <v>28912.745</v>
      </c>
      <c r="AI3" s="58">
        <f>SUM(BOM_full!AR6:AR11)</f>
        <v>28912.745</v>
      </c>
      <c r="AJ3" s="58">
        <f>SUM(BOM_full!AS6:AS11)</f>
        <v>28912.745</v>
      </c>
      <c r="AK3" s="58">
        <f>SUM(BOM_full!AT6:AT11)</f>
        <v>28912.745</v>
      </c>
    </row>
    <row r="4" ht="14.25" customHeight="1">
      <c r="A4" s="56" t="s">
        <v>133</v>
      </c>
      <c r="B4" s="58">
        <f>SUM(BOM_full!K13:K17)</f>
        <v>0</v>
      </c>
      <c r="C4" s="58">
        <f>SUM(BOM_full!L13:L17)</f>
        <v>1811.6975</v>
      </c>
      <c r="D4" s="58">
        <f>SUM(BOM_full!M13:M17)</f>
        <v>1811.6975</v>
      </c>
      <c r="E4" s="58">
        <f>SUM(BOM_full!N13:N17)</f>
        <v>1811.6975</v>
      </c>
      <c r="F4" s="58">
        <f>SUM(BOM_full!O13:O17)</f>
        <v>1811.6975</v>
      </c>
      <c r="G4" s="58">
        <f>SUM(BOM_full!P13:P17)</f>
        <v>1811.6975</v>
      </c>
      <c r="H4" s="58">
        <f>SUM(BOM_full!Q13:Q17)</f>
        <v>1811.6975</v>
      </c>
      <c r="I4" s="58">
        <f>SUM(BOM_full!R13:R17)</f>
        <v>1811.6975</v>
      </c>
      <c r="J4" s="58">
        <f>SUM(BOM_full!S13:S17)</f>
        <v>1811.6975</v>
      </c>
      <c r="K4" s="58">
        <f>SUM(BOM_full!T13:T17)</f>
        <v>1811.6975</v>
      </c>
      <c r="L4" s="58">
        <f>SUM(BOM_full!U13:U17)</f>
        <v>1811.6975</v>
      </c>
      <c r="M4" s="58">
        <f>SUM(BOM_full!V13:V17)</f>
        <v>1811.6975</v>
      </c>
      <c r="N4" s="58">
        <f>SUM(BOM_full!W13:W17)</f>
        <v>1811.6975</v>
      </c>
      <c r="O4" s="58">
        <f>SUM(BOM_full!X13:X17)</f>
        <v>1811.6975</v>
      </c>
      <c r="P4" s="58">
        <f>SUM(BOM_full!Y13:Y17)</f>
        <v>1811.6975</v>
      </c>
      <c r="Q4" s="58">
        <f>SUM(BOM_full!Z13:Z17)</f>
        <v>1811.6975</v>
      </c>
      <c r="R4" s="58">
        <f>SUM(BOM_full!AA13:AA17)</f>
        <v>1811.6975</v>
      </c>
      <c r="S4" s="58">
        <f>SUM(BOM_full!AB13:AB17)</f>
        <v>1811.6975</v>
      </c>
      <c r="T4" s="58">
        <f>SUM(BOM_full!AC13:AC17)</f>
        <v>1811.6975</v>
      </c>
      <c r="U4" s="58">
        <f>SUM(BOM_full!AD13:AD17)</f>
        <v>1811.6975</v>
      </c>
      <c r="V4" s="58">
        <f>SUM(BOM_full!AE13:AE17)</f>
        <v>1811.6975</v>
      </c>
      <c r="W4" s="58">
        <f>SUM(BOM_full!AF13:AF17)</f>
        <v>1811.6975</v>
      </c>
      <c r="X4" s="58">
        <f>SUM(BOM_full!AG13:AG17)</f>
        <v>1811.6975</v>
      </c>
      <c r="Y4" s="58">
        <f>SUM(BOM_full!AH13:AH17)</f>
        <v>1811.6975</v>
      </c>
      <c r="Z4" s="58">
        <f>SUM(BOM_full!AI13:AI17)</f>
        <v>1811.6975</v>
      </c>
      <c r="AA4" s="58">
        <f>SUM(BOM_full!AJ13:AJ17)</f>
        <v>1811.6975</v>
      </c>
      <c r="AB4" s="58">
        <f>SUM(BOM_full!AK13:AK17)</f>
        <v>1811.6975</v>
      </c>
      <c r="AC4" s="58">
        <f>SUM(BOM_full!AL13:AL17)</f>
        <v>1811.6975</v>
      </c>
      <c r="AD4" s="58">
        <f>SUM(BOM_full!AM13:AM17)</f>
        <v>1811.6975</v>
      </c>
      <c r="AE4" s="58">
        <f>SUM(BOM_full!AN13:AN17)</f>
        <v>1811.6975</v>
      </c>
      <c r="AF4" s="58">
        <f>SUM(BOM_full!AO13:AO17)</f>
        <v>1811.6975</v>
      </c>
      <c r="AG4" s="58">
        <f>SUM(BOM_full!AP13:AP17)</f>
        <v>1811.6975</v>
      </c>
      <c r="AH4" s="58">
        <f>SUM(BOM_full!AQ13:AQ17)</f>
        <v>1811.6975</v>
      </c>
      <c r="AI4" s="58">
        <f>SUM(BOM_full!AR13:AR17)</f>
        <v>1811.6975</v>
      </c>
      <c r="AJ4" s="58">
        <f>SUM(BOM_full!AS13:AS17)</f>
        <v>1811.6975</v>
      </c>
      <c r="AK4" s="58">
        <f>SUM(BOM_full!AT13:AT17)</f>
        <v>1811.6975</v>
      </c>
    </row>
    <row r="5" ht="14.25" customHeight="1">
      <c r="A5" s="56" t="s">
        <v>134</v>
      </c>
      <c r="B5" s="58">
        <f>SUM(BOM_full!K18:K23)</f>
        <v>0</v>
      </c>
      <c r="C5" s="58">
        <f>SUM(BOM_full!L18:L23)</f>
        <v>907.212</v>
      </c>
      <c r="D5" s="58">
        <f>SUM(BOM_full!M18:M23)</f>
        <v>907.212</v>
      </c>
      <c r="E5" s="58">
        <f>SUM(BOM_full!N18:N23)</f>
        <v>907.212</v>
      </c>
      <c r="F5" s="58">
        <f>SUM(BOM_full!O18:O23)</f>
        <v>907.212</v>
      </c>
      <c r="G5" s="58">
        <f>SUM(BOM_full!P18:P23)</f>
        <v>907.212</v>
      </c>
      <c r="H5" s="58">
        <f>SUM(BOM_full!Q18:Q23)</f>
        <v>907.212</v>
      </c>
      <c r="I5" s="58">
        <f>SUM(BOM_full!R18:R23)</f>
        <v>907.212</v>
      </c>
      <c r="J5" s="58">
        <f>SUM(BOM_full!S18:S23)</f>
        <v>907.212</v>
      </c>
      <c r="K5" s="58">
        <f>SUM(BOM_full!T18:T23)</f>
        <v>907.212</v>
      </c>
      <c r="L5" s="58">
        <f>SUM(BOM_full!U18:U23)</f>
        <v>907.212</v>
      </c>
      <c r="M5" s="58">
        <f>SUM(BOM_full!V18:V23)</f>
        <v>907.212</v>
      </c>
      <c r="N5" s="58">
        <f>SUM(BOM_full!W18:W23)</f>
        <v>907.212</v>
      </c>
      <c r="O5" s="58">
        <f>SUM(BOM_full!X18:X23)</f>
        <v>907.212</v>
      </c>
      <c r="P5" s="58">
        <f>SUM(BOM_full!Y18:Y23)</f>
        <v>907.212</v>
      </c>
      <c r="Q5" s="58">
        <f>SUM(BOM_full!Z18:Z23)</f>
        <v>907.212</v>
      </c>
      <c r="R5" s="58">
        <f>SUM(BOM_full!AA18:AA23)</f>
        <v>907.212</v>
      </c>
      <c r="S5" s="58">
        <f>SUM(BOM_full!AB18:AB23)</f>
        <v>907.212</v>
      </c>
      <c r="T5" s="58">
        <f>SUM(BOM_full!AC18:AC23)</f>
        <v>907.212</v>
      </c>
      <c r="U5" s="58">
        <f>SUM(BOM_full!AD18:AD23)</f>
        <v>907.212</v>
      </c>
      <c r="V5" s="58">
        <f>SUM(BOM_full!AE18:AE23)</f>
        <v>907.212</v>
      </c>
      <c r="W5" s="58">
        <f>SUM(BOM_full!AF18:AF23)</f>
        <v>907.212</v>
      </c>
      <c r="X5" s="58">
        <f>SUM(BOM_full!AG18:AG23)</f>
        <v>907.212</v>
      </c>
      <c r="Y5" s="58">
        <f>SUM(BOM_full!AH18:AH23)</f>
        <v>907.212</v>
      </c>
      <c r="Z5" s="58">
        <f>SUM(BOM_full!AI18:AI23)</f>
        <v>907.212</v>
      </c>
      <c r="AA5" s="58">
        <f>SUM(BOM_full!AJ18:AJ23)</f>
        <v>907.212</v>
      </c>
      <c r="AB5" s="58">
        <f>SUM(BOM_full!AK18:AK23)</f>
        <v>907.212</v>
      </c>
      <c r="AC5" s="58">
        <f>SUM(BOM_full!AL18:AL23)</f>
        <v>907.212</v>
      </c>
      <c r="AD5" s="58">
        <f>SUM(BOM_full!AM18:AM23)</f>
        <v>907.212</v>
      </c>
      <c r="AE5" s="58">
        <f>SUM(BOM_full!AN18:AN23)</f>
        <v>907.212</v>
      </c>
      <c r="AF5" s="58">
        <f>SUM(BOM_full!AO18:AO23)</f>
        <v>907.212</v>
      </c>
      <c r="AG5" s="58">
        <f>SUM(BOM_full!AP18:AP23)</f>
        <v>907.212</v>
      </c>
      <c r="AH5" s="58">
        <f>SUM(BOM_full!AQ18:AQ23)</f>
        <v>907.212</v>
      </c>
      <c r="AI5" s="58">
        <f>SUM(BOM_full!AR18:AR23)</f>
        <v>907.212</v>
      </c>
      <c r="AJ5" s="58">
        <f>SUM(BOM_full!AS18:AS23)</f>
        <v>907.212</v>
      </c>
      <c r="AK5" s="58">
        <f>SUM(BOM_full!AT18:AT23)</f>
        <v>907.212</v>
      </c>
    </row>
    <row r="6" ht="14.25" customHeight="1">
      <c r="A6" s="56" t="s">
        <v>135</v>
      </c>
      <c r="B6" s="58">
        <f>SUM(BOM_full!K24:K29)</f>
        <v>0</v>
      </c>
      <c r="C6" s="58">
        <f>SUM(BOM_full!L24:L29)</f>
        <v>933.849525</v>
      </c>
      <c r="D6" s="58">
        <f>SUM(BOM_full!M24:M29)</f>
        <v>933.849525</v>
      </c>
      <c r="E6" s="58">
        <f>SUM(BOM_full!N24:N29)</f>
        <v>933.849525</v>
      </c>
      <c r="F6" s="58">
        <f>SUM(BOM_full!O24:O29)</f>
        <v>933.849525</v>
      </c>
      <c r="G6" s="58">
        <f>SUM(BOM_full!P24:P29)</f>
        <v>933.849525</v>
      </c>
      <c r="H6" s="58">
        <f>SUM(BOM_full!Q24:Q29)</f>
        <v>933.849525</v>
      </c>
      <c r="I6" s="58">
        <f>SUM(BOM_full!R24:R29)</f>
        <v>933.849525</v>
      </c>
      <c r="J6" s="58">
        <f>SUM(BOM_full!S24:S29)</f>
        <v>933.849525</v>
      </c>
      <c r="K6" s="58">
        <f>SUM(BOM_full!T24:T29)</f>
        <v>933.849525</v>
      </c>
      <c r="L6" s="58">
        <f>SUM(BOM_full!U24:U29)</f>
        <v>933.849525</v>
      </c>
      <c r="M6" s="58">
        <f>SUM(BOM_full!V24:V29)</f>
        <v>933.849525</v>
      </c>
      <c r="N6" s="58">
        <f>SUM(BOM_full!W24:W29)</f>
        <v>933.849525</v>
      </c>
      <c r="O6" s="58">
        <f>SUM(BOM_full!X24:X29)</f>
        <v>933.849525</v>
      </c>
      <c r="P6" s="58">
        <f>SUM(BOM_full!Y24:Y29)</f>
        <v>933.849525</v>
      </c>
      <c r="Q6" s="58">
        <f>SUM(BOM_full!Z24:Z29)</f>
        <v>933.849525</v>
      </c>
      <c r="R6" s="58">
        <f>SUM(BOM_full!AA24:AA29)</f>
        <v>933.849525</v>
      </c>
      <c r="S6" s="58">
        <f>SUM(BOM_full!AB24:AB29)</f>
        <v>933.849525</v>
      </c>
      <c r="T6" s="58">
        <f>SUM(BOM_full!AC24:AC29)</f>
        <v>933.849525</v>
      </c>
      <c r="U6" s="58">
        <f>SUM(BOM_full!AD24:AD29)</f>
        <v>933.849525</v>
      </c>
      <c r="V6" s="58">
        <f>SUM(BOM_full!AE24:AE29)</f>
        <v>933.849525</v>
      </c>
      <c r="W6" s="58">
        <f>SUM(BOM_full!AF24:AF29)</f>
        <v>933.849525</v>
      </c>
      <c r="X6" s="58">
        <f>SUM(BOM_full!AG24:AG29)</f>
        <v>933.849525</v>
      </c>
      <c r="Y6" s="58">
        <f>SUM(BOM_full!AH24:AH29)</f>
        <v>933.849525</v>
      </c>
      <c r="Z6" s="58">
        <f>SUM(BOM_full!AI24:AI29)</f>
        <v>933.849525</v>
      </c>
      <c r="AA6" s="58">
        <f>SUM(BOM_full!AJ24:AJ29)</f>
        <v>933.849525</v>
      </c>
      <c r="AB6" s="58">
        <f>SUM(BOM_full!AK24:AK29)</f>
        <v>933.849525</v>
      </c>
      <c r="AC6" s="58">
        <f>SUM(BOM_full!AL24:AL29)</f>
        <v>933.849525</v>
      </c>
      <c r="AD6" s="58">
        <f>SUM(BOM_full!AM24:AM29)</f>
        <v>933.849525</v>
      </c>
      <c r="AE6" s="58">
        <f>SUM(BOM_full!AN24:AN29)</f>
        <v>933.849525</v>
      </c>
      <c r="AF6" s="58">
        <f>SUM(BOM_full!AO24:AO29)</f>
        <v>933.849525</v>
      </c>
      <c r="AG6" s="58">
        <f>SUM(BOM_full!AP24:AP29)</f>
        <v>933.849525</v>
      </c>
      <c r="AH6" s="58">
        <f>SUM(BOM_full!AQ24:AQ29)</f>
        <v>933.849525</v>
      </c>
      <c r="AI6" s="58">
        <f>SUM(BOM_full!AR24:AR29)</f>
        <v>933.849525</v>
      </c>
      <c r="AJ6" s="58">
        <f>SUM(BOM_full!AS24:AS29)</f>
        <v>933.849525</v>
      </c>
      <c r="AK6" s="58">
        <f>SUM(BOM_full!AT24:AT29)</f>
        <v>933.849525</v>
      </c>
    </row>
    <row r="7" ht="14.25" customHeight="1">
      <c r="A7" s="56" t="s">
        <v>136</v>
      </c>
      <c r="B7" s="58">
        <f>SUM(BOM_full!K30:K35)</f>
        <v>0</v>
      </c>
      <c r="C7" s="58">
        <f>SUM(BOM_full!L30:L35)</f>
        <v>436.4205</v>
      </c>
      <c r="D7" s="58">
        <f>SUM(BOM_full!M30:M35)</f>
        <v>436.4205</v>
      </c>
      <c r="E7" s="58">
        <f>SUM(BOM_full!N30:N35)</f>
        <v>436.4205</v>
      </c>
      <c r="F7" s="58">
        <f>SUM(BOM_full!O30:O35)</f>
        <v>436.4205</v>
      </c>
      <c r="G7" s="58">
        <f>SUM(BOM_full!P30:P35)</f>
        <v>436.4205</v>
      </c>
      <c r="H7" s="58">
        <f>SUM(BOM_full!Q30:Q35)</f>
        <v>436.4205</v>
      </c>
      <c r="I7" s="58">
        <f>SUM(BOM_full!R30:R35)</f>
        <v>436.4205</v>
      </c>
      <c r="J7" s="58">
        <f>SUM(BOM_full!S30:S35)</f>
        <v>436.4205</v>
      </c>
      <c r="K7" s="58">
        <f>SUM(BOM_full!T30:T35)</f>
        <v>436.4205</v>
      </c>
      <c r="L7" s="58">
        <f>SUM(BOM_full!U30:U35)</f>
        <v>436.4205</v>
      </c>
      <c r="M7" s="58">
        <f>SUM(BOM_full!V30:V35)</f>
        <v>436.4205</v>
      </c>
      <c r="N7" s="58">
        <f>SUM(BOM_full!W30:W35)</f>
        <v>436.4205</v>
      </c>
      <c r="O7" s="58">
        <f>SUM(BOM_full!X30:X35)</f>
        <v>436.4205</v>
      </c>
      <c r="P7" s="58">
        <f>SUM(BOM_full!Y30:Y35)</f>
        <v>436.4205</v>
      </c>
      <c r="Q7" s="58">
        <f>SUM(BOM_full!Z30:Z35)</f>
        <v>436.4205</v>
      </c>
      <c r="R7" s="58">
        <f>SUM(BOM_full!AA30:AA35)</f>
        <v>436.4205</v>
      </c>
      <c r="S7" s="58">
        <f>SUM(BOM_full!AB30:AB35)</f>
        <v>436.4205</v>
      </c>
      <c r="T7" s="58">
        <f>SUM(BOM_full!AC30:AC35)</f>
        <v>436.4205</v>
      </c>
      <c r="U7" s="58">
        <f>SUM(BOM_full!AD30:AD35)</f>
        <v>436.4205</v>
      </c>
      <c r="V7" s="58">
        <f>SUM(BOM_full!AE30:AE35)</f>
        <v>436.4205</v>
      </c>
      <c r="W7" s="58">
        <f>SUM(BOM_full!AF30:AF35)</f>
        <v>436.4205</v>
      </c>
      <c r="X7" s="58">
        <f>SUM(BOM_full!AG30:AG35)</f>
        <v>436.4205</v>
      </c>
      <c r="Y7" s="58">
        <f>SUM(BOM_full!AH30:AH35)</f>
        <v>436.4205</v>
      </c>
      <c r="Z7" s="58">
        <f>SUM(BOM_full!AI30:AI35)</f>
        <v>436.4205</v>
      </c>
      <c r="AA7" s="58">
        <f>SUM(BOM_full!AJ30:AJ35)</f>
        <v>436.4205</v>
      </c>
      <c r="AB7" s="58">
        <f>SUM(BOM_full!AK30:AK35)</f>
        <v>436.4205</v>
      </c>
      <c r="AC7" s="58">
        <f>SUM(BOM_full!AL30:AL35)</f>
        <v>436.4205</v>
      </c>
      <c r="AD7" s="58">
        <f>SUM(BOM_full!AM30:AM35)</f>
        <v>436.4205</v>
      </c>
      <c r="AE7" s="58">
        <f>SUM(BOM_full!AN30:AN35)</f>
        <v>436.4205</v>
      </c>
      <c r="AF7" s="58">
        <f>SUM(BOM_full!AO30:AO35)</f>
        <v>436.4205</v>
      </c>
      <c r="AG7" s="58">
        <f>SUM(BOM_full!AP30:AP35)</f>
        <v>436.4205</v>
      </c>
      <c r="AH7" s="58">
        <f>SUM(BOM_full!AQ30:AQ35)</f>
        <v>436.4205</v>
      </c>
      <c r="AI7" s="58">
        <f>SUM(BOM_full!AR30:AR35)</f>
        <v>436.4205</v>
      </c>
      <c r="AJ7" s="58">
        <f>SUM(BOM_full!AS30:AS35)</f>
        <v>436.4205</v>
      </c>
      <c r="AK7" s="58">
        <f>SUM(BOM_full!AT30:AT35)</f>
        <v>436.4205</v>
      </c>
    </row>
    <row r="8" ht="14.25" customHeight="1">
      <c r="A8" s="56" t="s">
        <v>137</v>
      </c>
      <c r="B8" s="58">
        <f>SUM(BOM_full!K36:K41)</f>
        <v>455.8974</v>
      </c>
      <c r="C8" s="58">
        <f>SUM(BOM_full!L36:L41)</f>
        <v>455.8974</v>
      </c>
      <c r="D8" s="58">
        <f>SUM(BOM_full!M36:M41)</f>
        <v>455.8974</v>
      </c>
      <c r="E8" s="58">
        <f>SUM(BOM_full!N36:N41)</f>
        <v>455.8974</v>
      </c>
      <c r="F8" s="58">
        <f>SUM(BOM_full!O36:O41)</f>
        <v>455.8974</v>
      </c>
      <c r="G8" s="58">
        <f>SUM(BOM_full!P36:P41)</f>
        <v>455.8974</v>
      </c>
      <c r="H8" s="58">
        <f>SUM(BOM_full!Q36:Q41)</f>
        <v>455.8974</v>
      </c>
      <c r="I8" s="58">
        <f>SUM(BOM_full!R36:R41)</f>
        <v>455.8974</v>
      </c>
      <c r="J8" s="58">
        <f>SUM(BOM_full!S36:S41)</f>
        <v>455.8974</v>
      </c>
      <c r="K8" s="58">
        <f>SUM(BOM_full!T36:T41)</f>
        <v>455.8974</v>
      </c>
      <c r="L8" s="58">
        <f>SUM(BOM_full!U36:U41)</f>
        <v>455.8974</v>
      </c>
      <c r="M8" s="58">
        <f>SUM(BOM_full!V36:V41)</f>
        <v>455.8974</v>
      </c>
      <c r="N8" s="58">
        <f>SUM(BOM_full!W36:W41)</f>
        <v>455.8974</v>
      </c>
      <c r="O8" s="58">
        <f>SUM(BOM_full!X36:X41)</f>
        <v>455.8974</v>
      </c>
      <c r="P8" s="58">
        <f>SUM(BOM_full!Y36:Y41)</f>
        <v>455.8974</v>
      </c>
      <c r="Q8" s="58">
        <f>SUM(BOM_full!Z36:Z41)</f>
        <v>455.8974</v>
      </c>
      <c r="R8" s="58">
        <f>SUM(BOM_full!AA36:AA41)</f>
        <v>455.8974</v>
      </c>
      <c r="S8" s="58">
        <f>SUM(BOM_full!AB36:AB41)</f>
        <v>455.8974</v>
      </c>
      <c r="T8" s="58">
        <f>SUM(BOM_full!AC36:AC41)</f>
        <v>455.8974</v>
      </c>
      <c r="U8" s="58">
        <f>SUM(BOM_full!AD36:AD41)</f>
        <v>455.8974</v>
      </c>
      <c r="V8" s="58">
        <f>SUM(BOM_full!AE36:AE41)</f>
        <v>455.8974</v>
      </c>
      <c r="W8" s="58">
        <f>SUM(BOM_full!AF36:AF41)</f>
        <v>455.8974</v>
      </c>
      <c r="X8" s="58">
        <f>SUM(BOM_full!AG36:AG41)</f>
        <v>455.8974</v>
      </c>
      <c r="Y8" s="58">
        <f>SUM(BOM_full!AH36:AH41)</f>
        <v>455.8974</v>
      </c>
      <c r="Z8" s="58">
        <f>SUM(BOM_full!AI36:AI41)</f>
        <v>455.8974</v>
      </c>
      <c r="AA8" s="58">
        <f>SUM(BOM_full!AJ36:AJ41)</f>
        <v>455.8974</v>
      </c>
      <c r="AB8" s="58">
        <f>SUM(BOM_full!AK36:AK41)</f>
        <v>455.8974</v>
      </c>
      <c r="AC8" s="58">
        <f>SUM(BOM_full!AL36:AL41)</f>
        <v>455.8974</v>
      </c>
      <c r="AD8" s="58">
        <f>SUM(BOM_full!AM36:AM41)</f>
        <v>455.8974</v>
      </c>
      <c r="AE8" s="58">
        <f>SUM(BOM_full!AN36:AN41)</f>
        <v>455.8974</v>
      </c>
      <c r="AF8" s="58">
        <f>SUM(BOM_full!AO36:AO41)</f>
        <v>455.8974</v>
      </c>
      <c r="AG8" s="58">
        <f>SUM(BOM_full!AP36:AP41)</f>
        <v>455.8974</v>
      </c>
      <c r="AH8" s="58">
        <f>SUM(BOM_full!AQ36:AQ41)</f>
        <v>455.8974</v>
      </c>
      <c r="AI8" s="58">
        <f>SUM(BOM_full!AR36:AR41)</f>
        <v>455.8974</v>
      </c>
      <c r="AJ8" s="58">
        <f>SUM(BOM_full!AS36:AS41)</f>
        <v>455.8974</v>
      </c>
      <c r="AK8" s="58">
        <f>SUM(BOM_full!AT36:AT41)</f>
        <v>455.8974</v>
      </c>
    </row>
    <row r="9" ht="14.25" customHeight="1">
      <c r="A9" s="56" t="s">
        <v>138</v>
      </c>
      <c r="B9" s="58">
        <f>BOM_full!K12</f>
        <v>0</v>
      </c>
      <c r="C9" s="58">
        <f>BOM_full!L12</f>
        <v>1768.425</v>
      </c>
      <c r="D9" s="58">
        <f>BOM_full!M12</f>
        <v>1768.425</v>
      </c>
      <c r="E9" s="58">
        <f>BOM_full!N12</f>
        <v>1768.425</v>
      </c>
      <c r="F9" s="58">
        <f>BOM_full!O12</f>
        <v>1768.425</v>
      </c>
      <c r="G9" s="58">
        <f>BOM_full!P12</f>
        <v>1768.425</v>
      </c>
      <c r="H9" s="58">
        <f>BOM_full!Q12</f>
        <v>1768.425</v>
      </c>
      <c r="I9" s="58">
        <f>BOM_full!R12</f>
        <v>1768.425</v>
      </c>
      <c r="J9" s="58">
        <f>BOM_full!S12</f>
        <v>1768.425</v>
      </c>
      <c r="K9" s="58">
        <f>BOM_full!T12</f>
        <v>1768.425</v>
      </c>
      <c r="L9" s="58">
        <f>BOM_full!U12</f>
        <v>1768.425</v>
      </c>
      <c r="M9" s="58">
        <f>BOM_full!V12</f>
        <v>1768.425</v>
      </c>
      <c r="N9" s="58">
        <f>BOM_full!W12</f>
        <v>1768.425</v>
      </c>
      <c r="O9" s="58">
        <f>BOM_full!X12</f>
        <v>1768.425</v>
      </c>
      <c r="P9" s="58">
        <f>BOM_full!Y12</f>
        <v>1768.425</v>
      </c>
      <c r="Q9" s="58">
        <f>BOM_full!Z12</f>
        <v>1768.425</v>
      </c>
      <c r="R9" s="58">
        <f>BOM_full!AA12</f>
        <v>1768.425</v>
      </c>
      <c r="S9" s="58">
        <f>BOM_full!AB12</f>
        <v>1768.425</v>
      </c>
      <c r="T9" s="58">
        <f>BOM_full!AC12</f>
        <v>1768.425</v>
      </c>
      <c r="U9" s="58">
        <f>BOM_full!AD12</f>
        <v>1768.425</v>
      </c>
      <c r="V9" s="58">
        <f>BOM_full!AE12</f>
        <v>1768.425</v>
      </c>
      <c r="W9" s="58">
        <f>BOM_full!AF12</f>
        <v>1768.425</v>
      </c>
      <c r="X9" s="58">
        <f>BOM_full!AG12</f>
        <v>1768.425</v>
      </c>
      <c r="Y9" s="58">
        <f>BOM_full!AH12</f>
        <v>1768.425</v>
      </c>
      <c r="Z9" s="58">
        <f>BOM_full!AI12</f>
        <v>1768.425</v>
      </c>
      <c r="AA9" s="58">
        <f>BOM_full!AJ12</f>
        <v>1768.425</v>
      </c>
      <c r="AB9" s="58">
        <f>BOM_full!AK12</f>
        <v>1768.425</v>
      </c>
      <c r="AC9" s="58">
        <f>BOM_full!AL12</f>
        <v>1768.425</v>
      </c>
      <c r="AD9" s="58">
        <f>BOM_full!AM12</f>
        <v>1768.425</v>
      </c>
      <c r="AE9" s="58">
        <f>BOM_full!AN12</f>
        <v>1768.425</v>
      </c>
      <c r="AF9" s="58">
        <f>BOM_full!AO12</f>
        <v>1768.425</v>
      </c>
      <c r="AG9" s="58">
        <f>BOM_full!AP12</f>
        <v>1768.425</v>
      </c>
      <c r="AH9" s="58">
        <f>BOM_full!AQ12</f>
        <v>1768.425</v>
      </c>
      <c r="AI9" s="58">
        <f>BOM_full!AR12</f>
        <v>1768.425</v>
      </c>
      <c r="AJ9" s="58">
        <f>BOM_full!AS12</f>
        <v>1768.425</v>
      </c>
      <c r="AK9" s="58">
        <f>BOM_full!AT12</f>
        <v>1768.425</v>
      </c>
    </row>
    <row r="10" ht="14.25" customHeight="1">
      <c r="B10" s="59">
        <f t="shared" ref="B10:AK10" si="1">SUM(B3:B9)</f>
        <v>29368.6424</v>
      </c>
      <c r="C10" s="59">
        <f t="shared" si="1"/>
        <v>35226.24693</v>
      </c>
      <c r="D10" s="59">
        <f t="shared" si="1"/>
        <v>35226.24693</v>
      </c>
      <c r="E10" s="59">
        <f t="shared" si="1"/>
        <v>35226.24693</v>
      </c>
      <c r="F10" s="59">
        <f t="shared" si="1"/>
        <v>35226.24693</v>
      </c>
      <c r="G10" s="59">
        <f t="shared" si="1"/>
        <v>35226.24693</v>
      </c>
      <c r="H10" s="59">
        <f t="shared" si="1"/>
        <v>35226.24693</v>
      </c>
      <c r="I10" s="59">
        <f t="shared" si="1"/>
        <v>35226.24693</v>
      </c>
      <c r="J10" s="59">
        <f t="shared" si="1"/>
        <v>35226.24693</v>
      </c>
      <c r="K10" s="59">
        <f t="shared" si="1"/>
        <v>35226.24693</v>
      </c>
      <c r="L10" s="59">
        <f t="shared" si="1"/>
        <v>35226.24693</v>
      </c>
      <c r="M10" s="59">
        <f t="shared" si="1"/>
        <v>35226.24693</v>
      </c>
      <c r="N10" s="59">
        <f t="shared" si="1"/>
        <v>35226.24693</v>
      </c>
      <c r="O10" s="59">
        <f t="shared" si="1"/>
        <v>35226.24693</v>
      </c>
      <c r="P10" s="59">
        <f t="shared" si="1"/>
        <v>35226.24693</v>
      </c>
      <c r="Q10" s="59">
        <f t="shared" si="1"/>
        <v>35226.24693</v>
      </c>
      <c r="R10" s="59">
        <f t="shared" si="1"/>
        <v>35226.24693</v>
      </c>
      <c r="S10" s="59">
        <f t="shared" si="1"/>
        <v>35226.24693</v>
      </c>
      <c r="T10" s="59">
        <f t="shared" si="1"/>
        <v>35226.24693</v>
      </c>
      <c r="U10" s="59">
        <f t="shared" si="1"/>
        <v>35226.24693</v>
      </c>
      <c r="V10" s="59">
        <f t="shared" si="1"/>
        <v>35226.24693</v>
      </c>
      <c r="W10" s="59">
        <f t="shared" si="1"/>
        <v>35226.24693</v>
      </c>
      <c r="X10" s="59">
        <f t="shared" si="1"/>
        <v>35226.24693</v>
      </c>
      <c r="Y10" s="59">
        <f t="shared" si="1"/>
        <v>35226.24693</v>
      </c>
      <c r="Z10" s="59">
        <f t="shared" si="1"/>
        <v>35226.24693</v>
      </c>
      <c r="AA10" s="59">
        <f t="shared" si="1"/>
        <v>35226.24693</v>
      </c>
      <c r="AB10" s="59">
        <f t="shared" si="1"/>
        <v>35226.24693</v>
      </c>
      <c r="AC10" s="59">
        <f t="shared" si="1"/>
        <v>35226.24693</v>
      </c>
      <c r="AD10" s="59">
        <f t="shared" si="1"/>
        <v>35226.24693</v>
      </c>
      <c r="AE10" s="59">
        <f t="shared" si="1"/>
        <v>35226.24693</v>
      </c>
      <c r="AF10" s="59">
        <f t="shared" si="1"/>
        <v>35226.24693</v>
      </c>
      <c r="AG10" s="59">
        <f t="shared" si="1"/>
        <v>35226.24693</v>
      </c>
      <c r="AH10" s="59">
        <f t="shared" si="1"/>
        <v>35226.24693</v>
      </c>
      <c r="AI10" s="59">
        <f t="shared" si="1"/>
        <v>35226.24693</v>
      </c>
      <c r="AJ10" s="59">
        <f t="shared" si="1"/>
        <v>35226.24693</v>
      </c>
      <c r="AK10" s="59">
        <f t="shared" si="1"/>
        <v>35226.24693</v>
      </c>
    </row>
    <row r="11" ht="14.25" customHeight="1">
      <c r="M11" s="60">
        <f>SUM(B10:M10)</f>
        <v>416857.3586</v>
      </c>
      <c r="Y11" s="60">
        <f>SUM(N10:Y10)</f>
        <v>422714.9631</v>
      </c>
      <c r="AK11" s="60">
        <f>SUM(Z10:AK10)</f>
        <v>422714.9631</v>
      </c>
    </row>
    <row r="12" ht="14.25" customHeight="1"/>
    <row r="13" ht="14.25" customHeight="1">
      <c r="B13" s="61" t="s">
        <v>96</v>
      </c>
      <c r="C13" s="61" t="s">
        <v>97</v>
      </c>
      <c r="D13" s="61" t="s">
        <v>98</v>
      </c>
      <c r="E13" s="61" t="s">
        <v>99</v>
      </c>
      <c r="F13" s="61" t="s">
        <v>100</v>
      </c>
      <c r="G13" s="61" t="s">
        <v>101</v>
      </c>
      <c r="H13" s="61" t="s">
        <v>102</v>
      </c>
      <c r="I13" s="61" t="s">
        <v>103</v>
      </c>
      <c r="J13" s="61" t="s">
        <v>104</v>
      </c>
      <c r="K13" s="61" t="s">
        <v>105</v>
      </c>
      <c r="L13" s="61" t="s">
        <v>106</v>
      </c>
      <c r="M13" s="61" t="s">
        <v>107</v>
      </c>
      <c r="N13" s="61" t="s">
        <v>108</v>
      </c>
      <c r="O13" s="61" t="s">
        <v>109</v>
      </c>
      <c r="P13" s="61" t="s">
        <v>110</v>
      </c>
      <c r="Q13" s="61" t="s">
        <v>111</v>
      </c>
      <c r="R13" s="61" t="s">
        <v>112</v>
      </c>
      <c r="S13" s="61" t="s">
        <v>113</v>
      </c>
      <c r="T13" s="61" t="s">
        <v>114</v>
      </c>
      <c r="U13" s="61" t="s">
        <v>115</v>
      </c>
      <c r="V13" s="61" t="s">
        <v>116</v>
      </c>
      <c r="W13" s="61" t="s">
        <v>117</v>
      </c>
      <c r="X13" s="61" t="s">
        <v>118</v>
      </c>
      <c r="Y13" s="61" t="s">
        <v>119</v>
      </c>
      <c r="Z13" s="61" t="s">
        <v>120</v>
      </c>
      <c r="AA13" s="61" t="s">
        <v>121</v>
      </c>
      <c r="AB13" s="61" t="s">
        <v>122</v>
      </c>
      <c r="AC13" s="61" t="s">
        <v>123</v>
      </c>
      <c r="AD13" s="61" t="s">
        <v>124</v>
      </c>
      <c r="AE13" s="61" t="s">
        <v>125</v>
      </c>
      <c r="AF13" s="61" t="s">
        <v>126</v>
      </c>
      <c r="AG13" s="61" t="s">
        <v>127</v>
      </c>
      <c r="AH13" s="61" t="s">
        <v>128</v>
      </c>
      <c r="AI13" s="61" t="s">
        <v>129</v>
      </c>
      <c r="AJ13" s="61" t="s">
        <v>130</v>
      </c>
      <c r="AK13" s="61" t="s">
        <v>131</v>
      </c>
    </row>
    <row r="14" ht="14.25" customHeight="1">
      <c r="A14" s="62" t="s">
        <v>139</v>
      </c>
      <c r="B14" s="63">
        <v>1.0</v>
      </c>
      <c r="C14" s="63">
        <v>1.0</v>
      </c>
      <c r="D14" s="63">
        <v>1.0</v>
      </c>
      <c r="E14" s="63">
        <v>1.0</v>
      </c>
      <c r="F14" s="63">
        <v>1.0</v>
      </c>
      <c r="G14" s="63">
        <v>1.0</v>
      </c>
      <c r="H14" s="63">
        <v>1.0</v>
      </c>
      <c r="I14" s="63">
        <v>1.0</v>
      </c>
      <c r="J14" s="63">
        <v>1.0</v>
      </c>
      <c r="K14" s="63">
        <v>1.0</v>
      </c>
      <c r="L14" s="63">
        <v>1.0</v>
      </c>
      <c r="M14" s="63">
        <v>1.0</v>
      </c>
      <c r="N14" s="63">
        <v>1.0</v>
      </c>
      <c r="O14" s="63">
        <v>1.0</v>
      </c>
      <c r="P14" s="63">
        <v>1.0</v>
      </c>
      <c r="Q14" s="63">
        <v>1.0</v>
      </c>
      <c r="R14" s="63">
        <v>1.0</v>
      </c>
      <c r="S14" s="63">
        <v>1.0</v>
      </c>
      <c r="T14" s="63">
        <v>1.0</v>
      </c>
      <c r="U14" s="63">
        <v>1.0</v>
      </c>
      <c r="V14" s="63">
        <v>1.0</v>
      </c>
      <c r="W14" s="63">
        <v>1.0</v>
      </c>
      <c r="X14" s="63">
        <v>1.0</v>
      </c>
      <c r="Y14" s="63">
        <v>1.0</v>
      </c>
      <c r="Z14" s="63">
        <v>1.0</v>
      </c>
      <c r="AA14" s="63">
        <v>1.0</v>
      </c>
      <c r="AB14" s="63">
        <v>1.0</v>
      </c>
      <c r="AC14" s="63">
        <v>1.0</v>
      </c>
      <c r="AD14" s="63">
        <v>1.0</v>
      </c>
      <c r="AE14" s="63">
        <v>1.0</v>
      </c>
      <c r="AF14" s="63">
        <v>1.0</v>
      </c>
      <c r="AG14" s="63">
        <v>1.0</v>
      </c>
      <c r="AH14" s="63">
        <v>1.0</v>
      </c>
      <c r="AI14" s="63">
        <v>1.0</v>
      </c>
      <c r="AJ14" s="63">
        <v>1.0</v>
      </c>
      <c r="AK14" s="63">
        <v>1.0</v>
      </c>
    </row>
    <row r="15" ht="14.25" customHeight="1">
      <c r="A15" s="64" t="s">
        <v>133</v>
      </c>
      <c r="B15" s="63">
        <v>0.0</v>
      </c>
      <c r="C15" s="63">
        <v>1.0</v>
      </c>
      <c r="D15" s="63">
        <v>1.0</v>
      </c>
      <c r="E15" s="63">
        <v>1.0</v>
      </c>
      <c r="F15" s="63">
        <v>1.0</v>
      </c>
      <c r="G15" s="63">
        <v>1.0</v>
      </c>
      <c r="H15" s="63">
        <v>1.0</v>
      </c>
      <c r="I15" s="63">
        <v>1.0</v>
      </c>
      <c r="J15" s="63">
        <v>1.0</v>
      </c>
      <c r="K15" s="63">
        <v>1.0</v>
      </c>
      <c r="L15" s="63">
        <v>1.0</v>
      </c>
      <c r="M15" s="63">
        <v>1.0</v>
      </c>
      <c r="N15" s="63">
        <v>1.0</v>
      </c>
      <c r="O15" s="63">
        <v>1.0</v>
      </c>
      <c r="P15" s="63">
        <v>1.0</v>
      </c>
      <c r="Q15" s="63">
        <v>1.0</v>
      </c>
      <c r="R15" s="63">
        <v>1.0</v>
      </c>
      <c r="S15" s="63">
        <v>1.0</v>
      </c>
      <c r="T15" s="63">
        <v>1.0</v>
      </c>
      <c r="U15" s="63">
        <v>1.0</v>
      </c>
      <c r="V15" s="63">
        <v>1.0</v>
      </c>
      <c r="W15" s="63">
        <v>1.0</v>
      </c>
      <c r="X15" s="63">
        <v>1.0</v>
      </c>
      <c r="Y15" s="63">
        <v>1.0</v>
      </c>
      <c r="Z15" s="63">
        <v>1.0</v>
      </c>
      <c r="AA15" s="63">
        <v>1.0</v>
      </c>
      <c r="AB15" s="63">
        <v>1.0</v>
      </c>
      <c r="AC15" s="63">
        <v>1.0</v>
      </c>
      <c r="AD15" s="63">
        <v>1.0</v>
      </c>
      <c r="AE15" s="63">
        <v>1.0</v>
      </c>
      <c r="AF15" s="63">
        <v>1.0</v>
      </c>
      <c r="AG15" s="63">
        <v>1.0</v>
      </c>
      <c r="AH15" s="63">
        <v>1.0</v>
      </c>
      <c r="AI15" s="63">
        <v>1.0</v>
      </c>
      <c r="AJ15" s="63">
        <v>1.0</v>
      </c>
      <c r="AK15" s="63">
        <v>1.0</v>
      </c>
    </row>
    <row r="16" ht="14.25" customHeight="1">
      <c r="A16" s="65" t="s">
        <v>134</v>
      </c>
      <c r="B16" s="63">
        <v>0.0</v>
      </c>
      <c r="C16" s="63">
        <v>1.0</v>
      </c>
      <c r="D16" s="63">
        <v>1.0</v>
      </c>
      <c r="E16" s="63">
        <v>1.0</v>
      </c>
      <c r="F16" s="63">
        <v>1.0</v>
      </c>
      <c r="G16" s="63">
        <v>1.0</v>
      </c>
      <c r="H16" s="63">
        <v>1.0</v>
      </c>
      <c r="I16" s="63">
        <v>1.0</v>
      </c>
      <c r="J16" s="63">
        <v>1.0</v>
      </c>
      <c r="K16" s="63">
        <v>1.0</v>
      </c>
      <c r="L16" s="63">
        <v>1.0</v>
      </c>
      <c r="M16" s="63">
        <v>1.0</v>
      </c>
      <c r="N16" s="63">
        <v>1.0</v>
      </c>
      <c r="O16" s="63">
        <v>1.0</v>
      </c>
      <c r="P16" s="63">
        <v>1.0</v>
      </c>
      <c r="Q16" s="63">
        <v>1.0</v>
      </c>
      <c r="R16" s="63">
        <v>1.0</v>
      </c>
      <c r="S16" s="63">
        <v>1.0</v>
      </c>
      <c r="T16" s="63">
        <v>1.0</v>
      </c>
      <c r="U16" s="63">
        <v>1.0</v>
      </c>
      <c r="V16" s="63">
        <v>1.0</v>
      </c>
      <c r="W16" s="63">
        <v>1.0</v>
      </c>
      <c r="X16" s="63">
        <v>1.0</v>
      </c>
      <c r="Y16" s="63">
        <v>1.0</v>
      </c>
      <c r="Z16" s="63">
        <v>1.0</v>
      </c>
      <c r="AA16" s="63">
        <v>1.0</v>
      </c>
      <c r="AB16" s="63">
        <v>1.0</v>
      </c>
      <c r="AC16" s="63">
        <v>1.0</v>
      </c>
      <c r="AD16" s="63">
        <v>1.0</v>
      </c>
      <c r="AE16" s="63">
        <v>1.0</v>
      </c>
      <c r="AF16" s="63">
        <v>1.0</v>
      </c>
      <c r="AG16" s="63">
        <v>1.0</v>
      </c>
      <c r="AH16" s="63">
        <v>1.0</v>
      </c>
      <c r="AI16" s="63">
        <v>1.0</v>
      </c>
      <c r="AJ16" s="63">
        <v>1.0</v>
      </c>
      <c r="AK16" s="63">
        <v>1.0</v>
      </c>
    </row>
    <row r="17" ht="14.25" customHeight="1">
      <c r="A17" s="65" t="s">
        <v>135</v>
      </c>
      <c r="B17" s="63">
        <v>0.0</v>
      </c>
      <c r="C17" s="63">
        <v>1.0</v>
      </c>
      <c r="D17" s="63">
        <v>1.0</v>
      </c>
      <c r="E17" s="63">
        <v>1.0</v>
      </c>
      <c r="F17" s="63">
        <v>1.0</v>
      </c>
      <c r="G17" s="63">
        <v>1.0</v>
      </c>
      <c r="H17" s="63">
        <v>1.0</v>
      </c>
      <c r="I17" s="63">
        <v>1.0</v>
      </c>
      <c r="J17" s="63">
        <v>1.0</v>
      </c>
      <c r="K17" s="63">
        <v>1.0</v>
      </c>
      <c r="L17" s="63">
        <v>1.0</v>
      </c>
      <c r="M17" s="63">
        <v>1.0</v>
      </c>
      <c r="N17" s="63">
        <v>1.0</v>
      </c>
      <c r="O17" s="63">
        <v>1.0</v>
      </c>
      <c r="P17" s="63">
        <v>1.0</v>
      </c>
      <c r="Q17" s="63">
        <v>1.0</v>
      </c>
      <c r="R17" s="63">
        <v>1.0</v>
      </c>
      <c r="S17" s="63">
        <v>1.0</v>
      </c>
      <c r="T17" s="63">
        <v>1.0</v>
      </c>
      <c r="U17" s="63">
        <v>1.0</v>
      </c>
      <c r="V17" s="63">
        <v>1.0</v>
      </c>
      <c r="W17" s="63">
        <v>1.0</v>
      </c>
      <c r="X17" s="63">
        <v>1.0</v>
      </c>
      <c r="Y17" s="63">
        <v>1.0</v>
      </c>
      <c r="Z17" s="63">
        <v>1.0</v>
      </c>
      <c r="AA17" s="63">
        <v>1.0</v>
      </c>
      <c r="AB17" s="63">
        <v>1.0</v>
      </c>
      <c r="AC17" s="63">
        <v>1.0</v>
      </c>
      <c r="AD17" s="63">
        <v>1.0</v>
      </c>
      <c r="AE17" s="63">
        <v>1.0</v>
      </c>
      <c r="AF17" s="63">
        <v>1.0</v>
      </c>
      <c r="AG17" s="63">
        <v>1.0</v>
      </c>
      <c r="AH17" s="63">
        <v>1.0</v>
      </c>
      <c r="AI17" s="63">
        <v>1.0</v>
      </c>
      <c r="AJ17" s="63">
        <v>1.0</v>
      </c>
      <c r="AK17" s="63">
        <v>1.0</v>
      </c>
    </row>
    <row r="18" ht="14.25" customHeight="1">
      <c r="A18" s="66" t="s">
        <v>136</v>
      </c>
      <c r="B18" s="63">
        <v>0.0</v>
      </c>
      <c r="C18" s="63">
        <v>1.0</v>
      </c>
      <c r="D18" s="63">
        <v>1.0</v>
      </c>
      <c r="E18" s="63">
        <v>1.0</v>
      </c>
      <c r="F18" s="63">
        <v>1.0</v>
      </c>
      <c r="G18" s="63">
        <v>1.0</v>
      </c>
      <c r="H18" s="63">
        <v>1.0</v>
      </c>
      <c r="I18" s="63">
        <v>1.0</v>
      </c>
      <c r="J18" s="63">
        <v>1.0</v>
      </c>
      <c r="K18" s="63">
        <v>1.0</v>
      </c>
      <c r="L18" s="63">
        <v>1.0</v>
      </c>
      <c r="M18" s="63">
        <v>1.0</v>
      </c>
      <c r="N18" s="63">
        <v>1.0</v>
      </c>
      <c r="O18" s="63">
        <v>1.0</v>
      </c>
      <c r="P18" s="63">
        <v>1.0</v>
      </c>
      <c r="Q18" s="63">
        <v>1.0</v>
      </c>
      <c r="R18" s="63">
        <v>1.0</v>
      </c>
      <c r="S18" s="63">
        <v>1.0</v>
      </c>
      <c r="T18" s="63">
        <v>1.0</v>
      </c>
      <c r="U18" s="63">
        <v>1.0</v>
      </c>
      <c r="V18" s="63">
        <v>1.0</v>
      </c>
      <c r="W18" s="63">
        <v>1.0</v>
      </c>
      <c r="X18" s="63">
        <v>1.0</v>
      </c>
      <c r="Y18" s="63">
        <v>1.0</v>
      </c>
      <c r="Z18" s="63">
        <v>1.0</v>
      </c>
      <c r="AA18" s="63">
        <v>1.0</v>
      </c>
      <c r="AB18" s="63">
        <v>1.0</v>
      </c>
      <c r="AC18" s="63">
        <v>1.0</v>
      </c>
      <c r="AD18" s="63">
        <v>1.0</v>
      </c>
      <c r="AE18" s="63">
        <v>1.0</v>
      </c>
      <c r="AF18" s="63">
        <v>1.0</v>
      </c>
      <c r="AG18" s="63">
        <v>1.0</v>
      </c>
      <c r="AH18" s="63">
        <v>1.0</v>
      </c>
      <c r="AI18" s="63">
        <v>1.0</v>
      </c>
      <c r="AJ18" s="63">
        <v>1.0</v>
      </c>
      <c r="AK18" s="63">
        <v>1.0</v>
      </c>
    </row>
    <row r="19" ht="14.25" customHeight="1">
      <c r="A19" s="67" t="s">
        <v>137</v>
      </c>
      <c r="B19" s="63">
        <v>1.0</v>
      </c>
      <c r="C19" s="63">
        <v>1.0</v>
      </c>
      <c r="D19" s="63">
        <v>1.0</v>
      </c>
      <c r="E19" s="63">
        <v>1.0</v>
      </c>
      <c r="F19" s="63">
        <v>1.0</v>
      </c>
      <c r="G19" s="63">
        <v>1.0</v>
      </c>
      <c r="H19" s="63">
        <v>1.0</v>
      </c>
      <c r="I19" s="63">
        <v>1.0</v>
      </c>
      <c r="J19" s="63">
        <v>1.0</v>
      </c>
      <c r="K19" s="63">
        <v>1.0</v>
      </c>
      <c r="L19" s="63">
        <v>1.0</v>
      </c>
      <c r="M19" s="63">
        <v>1.0</v>
      </c>
      <c r="N19" s="63">
        <v>1.0</v>
      </c>
      <c r="O19" s="63">
        <v>1.0</v>
      </c>
      <c r="P19" s="63">
        <v>1.0</v>
      </c>
      <c r="Q19" s="63">
        <v>1.0</v>
      </c>
      <c r="R19" s="63">
        <v>1.0</v>
      </c>
      <c r="S19" s="63">
        <v>1.0</v>
      </c>
      <c r="T19" s="63">
        <v>1.0</v>
      </c>
      <c r="U19" s="63">
        <v>1.0</v>
      </c>
      <c r="V19" s="63">
        <v>1.0</v>
      </c>
      <c r="W19" s="63">
        <v>1.0</v>
      </c>
      <c r="X19" s="63">
        <v>1.0</v>
      </c>
      <c r="Y19" s="63">
        <v>1.0</v>
      </c>
      <c r="Z19" s="63">
        <v>1.0</v>
      </c>
      <c r="AA19" s="63">
        <v>1.0</v>
      </c>
      <c r="AB19" s="63">
        <v>1.0</v>
      </c>
      <c r="AC19" s="63">
        <v>1.0</v>
      </c>
      <c r="AD19" s="63">
        <v>1.0</v>
      </c>
      <c r="AE19" s="63">
        <v>1.0</v>
      </c>
      <c r="AF19" s="63">
        <v>1.0</v>
      </c>
      <c r="AG19" s="63">
        <v>1.0</v>
      </c>
      <c r="AH19" s="63">
        <v>1.0</v>
      </c>
      <c r="AI19" s="63">
        <v>1.0</v>
      </c>
      <c r="AJ19" s="63">
        <v>1.0</v>
      </c>
      <c r="AK19" s="63">
        <v>1.0</v>
      </c>
    </row>
    <row r="20" ht="14.25" customHeight="1">
      <c r="A20" s="68" t="s">
        <v>63</v>
      </c>
      <c r="B20" s="63">
        <v>0.0</v>
      </c>
      <c r="C20" s="63">
        <v>1.0</v>
      </c>
      <c r="D20" s="63">
        <v>1.0</v>
      </c>
      <c r="E20" s="63">
        <v>1.0</v>
      </c>
      <c r="F20" s="63">
        <v>1.0</v>
      </c>
      <c r="G20" s="63">
        <v>1.0</v>
      </c>
      <c r="H20" s="63">
        <v>1.0</v>
      </c>
      <c r="I20" s="63">
        <v>1.0</v>
      </c>
      <c r="J20" s="63">
        <v>1.0</v>
      </c>
      <c r="K20" s="63">
        <v>1.0</v>
      </c>
      <c r="L20" s="63">
        <v>1.0</v>
      </c>
      <c r="M20" s="63">
        <v>1.0</v>
      </c>
      <c r="N20" s="63">
        <v>1.0</v>
      </c>
      <c r="O20" s="63">
        <v>1.0</v>
      </c>
      <c r="P20" s="63">
        <v>1.0</v>
      </c>
      <c r="Q20" s="63">
        <v>1.0</v>
      </c>
      <c r="R20" s="63">
        <v>1.0</v>
      </c>
      <c r="S20" s="63">
        <v>1.0</v>
      </c>
      <c r="T20" s="63">
        <v>1.0</v>
      </c>
      <c r="U20" s="63">
        <v>1.0</v>
      </c>
      <c r="V20" s="63">
        <v>1.0</v>
      </c>
      <c r="W20" s="63">
        <v>1.0</v>
      </c>
      <c r="X20" s="63">
        <v>1.0</v>
      </c>
      <c r="Y20" s="63">
        <v>1.0</v>
      </c>
      <c r="Z20" s="63">
        <v>1.0</v>
      </c>
      <c r="AA20" s="63">
        <v>1.0</v>
      </c>
      <c r="AB20" s="63">
        <v>1.0</v>
      </c>
      <c r="AC20" s="63">
        <v>1.0</v>
      </c>
      <c r="AD20" s="63">
        <v>1.0</v>
      </c>
      <c r="AE20" s="63">
        <v>1.0</v>
      </c>
      <c r="AF20" s="63">
        <v>1.0</v>
      </c>
      <c r="AG20" s="63">
        <v>1.0</v>
      </c>
      <c r="AH20" s="63">
        <v>1.0</v>
      </c>
      <c r="AI20" s="63">
        <v>1.0</v>
      </c>
      <c r="AJ20" s="63">
        <v>1.0</v>
      </c>
      <c r="AK20" s="63">
        <v>1.0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14:AK20">
    <cfRule type="colorScale" priority="1">
      <colorScale>
        <cfvo type="min"/>
        <cfvo type="max"/>
        <color rgb="FFFFEF9C"/>
        <color rgb="FF63BE7B"/>
      </colorScale>
    </cfRule>
  </conditionalFormatting>
  <conditionalFormatting sqref="B14:AK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35.86"/>
    <col customWidth="1" min="3" max="3" width="13.86"/>
    <col customWidth="1" min="4" max="5" width="13.43"/>
    <col customWidth="1" min="6" max="26" width="8.71"/>
  </cols>
  <sheetData>
    <row r="1" ht="14.25" customHeight="1"/>
    <row r="2" ht="14.25" customHeight="1"/>
    <row r="3" ht="14.25" customHeight="1"/>
    <row r="4" ht="14.25" customHeight="1"/>
    <row r="5" ht="14.25" customHeight="1">
      <c r="A5" s="69" t="s">
        <v>140</v>
      </c>
      <c r="B5" s="70"/>
      <c r="C5" s="71"/>
      <c r="D5" s="72"/>
      <c r="E5" s="72"/>
    </row>
    <row r="6" ht="14.25" customHeight="1">
      <c r="A6" s="73" t="s">
        <v>141</v>
      </c>
      <c r="B6" s="73" t="s">
        <v>142</v>
      </c>
      <c r="C6" s="73" t="s">
        <v>143</v>
      </c>
      <c r="D6" s="74" t="s">
        <v>144</v>
      </c>
      <c r="E6" s="75" t="s">
        <v>145</v>
      </c>
    </row>
    <row r="7" ht="14.25" customHeight="1">
      <c r="A7" s="76" t="s">
        <v>146</v>
      </c>
      <c r="B7" s="21" t="s">
        <v>147</v>
      </c>
      <c r="C7" s="77">
        <f>SUM(Rampa!B3:M3)</f>
        <v>346952.94</v>
      </c>
      <c r="D7" s="77">
        <f>SUM(Rampa!N3:Y3)</f>
        <v>346952.94</v>
      </c>
      <c r="E7" s="77">
        <f>SUM(Rampa!Z3:AK3)</f>
        <v>346952.94</v>
      </c>
    </row>
    <row r="8" ht="14.25" customHeight="1">
      <c r="A8" s="76" t="s">
        <v>67</v>
      </c>
      <c r="B8" s="21" t="s">
        <v>148</v>
      </c>
      <c r="C8" s="77">
        <f>SUM(Rampa!B4:M4)</f>
        <v>19928.6725</v>
      </c>
      <c r="D8" s="77">
        <f>SUM(Rampa!N4:Y4)</f>
        <v>21740.37</v>
      </c>
      <c r="E8" s="77">
        <f>SUM(Rampa!Z4:AK4)</f>
        <v>21740.37</v>
      </c>
    </row>
    <row r="9" ht="14.25" customHeight="1">
      <c r="A9" s="76" t="s">
        <v>149</v>
      </c>
      <c r="B9" s="21" t="s">
        <v>150</v>
      </c>
      <c r="C9" s="77">
        <f>SUM(Rampa!B5:M5)</f>
        <v>9979.332</v>
      </c>
      <c r="D9" s="77">
        <f>SUM(Rampa!N5:Y5)</f>
        <v>10886.544</v>
      </c>
      <c r="E9" s="77">
        <f>SUM(Rampa!Z5:AK5)</f>
        <v>10886.544</v>
      </c>
    </row>
    <row r="10" ht="14.25" customHeight="1">
      <c r="A10" s="76" t="s">
        <v>151</v>
      </c>
      <c r="B10" s="21" t="s">
        <v>150</v>
      </c>
      <c r="C10" s="77">
        <f>SUM(Rampa!B6:M6)</f>
        <v>10272.34478</v>
      </c>
      <c r="D10" s="77">
        <f>SUM(Rampa!N6:Y6)</f>
        <v>11206.1943</v>
      </c>
      <c r="E10" s="77">
        <f>SUM(Rampa!Z6:AK6)</f>
        <v>11206.1943</v>
      </c>
    </row>
    <row r="11" ht="14.25" customHeight="1">
      <c r="A11" s="76" t="s">
        <v>136</v>
      </c>
      <c r="B11" s="21" t="s">
        <v>152</v>
      </c>
      <c r="C11" s="77">
        <f>SUM(Rampa!B7:M7)</f>
        <v>4800.6255</v>
      </c>
      <c r="D11" s="77">
        <f>SUM(Rampa!N7:Y7)</f>
        <v>5237.046</v>
      </c>
      <c r="E11" s="77">
        <f>SUM(Rampa!Z7:AK7)</f>
        <v>5237.046</v>
      </c>
    </row>
    <row r="12" ht="14.25" customHeight="1">
      <c r="A12" s="76" t="s">
        <v>137</v>
      </c>
      <c r="B12" s="21" t="s">
        <v>153</v>
      </c>
      <c r="C12" s="77">
        <f>SUM(Rampa!B8:M8)</f>
        <v>5470.7688</v>
      </c>
      <c r="D12" s="77">
        <f>SUM(Rampa!N8:Y8)</f>
        <v>5470.7688</v>
      </c>
      <c r="E12" s="77">
        <f>SUM(Rampa!Z8:AK8)</f>
        <v>5470.7688</v>
      </c>
    </row>
    <row r="13" ht="14.25" customHeight="1">
      <c r="A13" s="76" t="s">
        <v>63</v>
      </c>
      <c r="B13" s="21" t="s">
        <v>154</v>
      </c>
      <c r="C13" s="78">
        <f>SUM(Rampa!B9:M9)</f>
        <v>19452.675</v>
      </c>
      <c r="D13" s="78">
        <f>SUM(Rampa!N9:Y9)</f>
        <v>21221.1</v>
      </c>
      <c r="E13" s="78">
        <f>SUM(Rampa!Z9:AK9)</f>
        <v>21221.1</v>
      </c>
    </row>
    <row r="14" ht="14.25" customHeight="1">
      <c r="A14" s="79"/>
      <c r="B14" s="80" t="s">
        <v>155</v>
      </c>
      <c r="C14" s="81">
        <f t="shared" ref="C14:E14" si="1">SUM(C7:C13)</f>
        <v>416857.3586</v>
      </c>
      <c r="D14" s="82">
        <f t="shared" si="1"/>
        <v>422714.9631</v>
      </c>
      <c r="E14" s="83">
        <f t="shared" si="1"/>
        <v>422714.9631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5:C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2024-03-11T20:18:18Z</dcterms:created>
  <dc:creator>avargas</dc:creator>
</cp:coreProperties>
</file>