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whiplash/Documents/Magister/Tesis/"/>
    </mc:Choice>
  </mc:AlternateContent>
  <xr:revisionPtr revIDLastSave="0" documentId="13_ncr:1_{76F9894A-AF6C-7A41-A103-35DDDD55C90E}" xr6:coauthVersionLast="47" xr6:coauthVersionMax="47" xr10:uidLastSave="{00000000-0000-0000-0000-000000000000}"/>
  <bookViews>
    <workbookView xWindow="-59280" yWindow="1540" windowWidth="30240" windowHeight="18980" activeTab="3" xr2:uid="{00000000-000D-0000-FFFF-FFFF00000000}"/>
  </bookViews>
  <sheets>
    <sheet name="BOM_full" sheetId="1" r:id="rId1"/>
    <sheet name="Rampa" sheetId="3" r:id="rId2"/>
    <sheet name="Resumen_BoM" sheetId="4" r:id="rId3"/>
    <sheet name="Arquitectura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PTSQiQCISFv54z5WOaycqwl8O5/lHr4ZyaOayWri6os="/>
    </ext>
  </extLst>
</workbook>
</file>

<file path=xl/calcChain.xml><?xml version="1.0" encoding="utf-8"?>
<calcChain xmlns="http://schemas.openxmlformats.org/spreadsheetml/2006/main">
  <c r="AT11" i="1" l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AS9" i="1"/>
  <c r="AP9" i="1"/>
  <c r="AM9" i="1"/>
  <c r="AF9" i="1"/>
  <c r="AE9" i="1"/>
  <c r="AB9" i="1"/>
  <c r="Y9" i="1"/>
  <c r="R9" i="1"/>
  <c r="Q9" i="1"/>
  <c r="N9" i="1"/>
  <c r="K9" i="1"/>
  <c r="I9" i="1"/>
  <c r="AK9" i="1" s="1"/>
  <c r="I8" i="1"/>
  <c r="AT8" i="1" s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AN6" i="1"/>
  <c r="AE4" i="3" s="1"/>
  <c r="AK6" i="1"/>
  <c r="AB4" i="3" s="1"/>
  <c r="I6" i="1"/>
  <c r="AI6" i="1" s="1"/>
  <c r="Z4" i="3" s="1"/>
  <c r="L6" i="1" l="1"/>
  <c r="C4" i="3" s="1"/>
  <c r="Z6" i="1"/>
  <c r="Q4" i="3" s="1"/>
  <c r="AH8" i="1"/>
  <c r="AT9" i="1"/>
  <c r="O6" i="1"/>
  <c r="F4" i="3" s="1"/>
  <c r="AC6" i="1"/>
  <c r="T4" i="3" s="1"/>
  <c r="AJ8" i="1"/>
  <c r="AK3" i="3"/>
  <c r="AD6" i="1"/>
  <c r="U4" i="3" s="1"/>
  <c r="L8" i="1"/>
  <c r="M8" i="1"/>
  <c r="AK8" i="1"/>
  <c r="AB3" i="3"/>
  <c r="AO8" i="1"/>
  <c r="AR6" i="1"/>
  <c r="AI4" i="3" s="1"/>
  <c r="T8" i="1"/>
  <c r="AP8" i="1"/>
  <c r="AG3" i="3" s="1"/>
  <c r="N8" i="1"/>
  <c r="E3" i="3" s="1"/>
  <c r="AN8" i="1"/>
  <c r="AQ6" i="1"/>
  <c r="AH4" i="3" s="1"/>
  <c r="S8" i="1"/>
  <c r="U8" i="1"/>
  <c r="V8" i="1"/>
  <c r="W8" i="1"/>
  <c r="Z8" i="1"/>
  <c r="AI8" i="1"/>
  <c r="AA8" i="1"/>
  <c r="P6" i="1"/>
  <c r="G4" i="3" s="1"/>
  <c r="AB8" i="1"/>
  <c r="S3" i="3" s="1"/>
  <c r="W6" i="1"/>
  <c r="N4" i="3" s="1"/>
  <c r="AG8" i="1"/>
  <c r="V6" i="1"/>
  <c r="M4" i="3" s="1"/>
  <c r="AJ6" i="1"/>
  <c r="AA4" i="3" s="1"/>
  <c r="X9" i="1"/>
  <c r="AL9" i="1"/>
  <c r="X6" i="1"/>
  <c r="O4" i="3" s="1"/>
  <c r="AL6" i="1"/>
  <c r="AC4" i="3" s="1"/>
  <c r="L9" i="1"/>
  <c r="C3" i="3" s="1"/>
  <c r="Z9" i="1"/>
  <c r="AN9" i="1"/>
  <c r="K6" i="1"/>
  <c r="B4" i="3" s="1"/>
  <c r="Y6" i="1"/>
  <c r="P4" i="3" s="1"/>
  <c r="AM6" i="1"/>
  <c r="AD4" i="3" s="1"/>
  <c r="M9" i="1"/>
  <c r="AA9" i="1"/>
  <c r="AO9" i="1"/>
  <c r="AF3" i="3" s="1"/>
  <c r="M6" i="1"/>
  <c r="D4" i="3" s="1"/>
  <c r="AA6" i="1"/>
  <c r="R4" i="3" s="1"/>
  <c r="AO6" i="1"/>
  <c r="AF4" i="3" s="1"/>
  <c r="X8" i="1"/>
  <c r="AL8" i="1"/>
  <c r="O9" i="1"/>
  <c r="AC9" i="1"/>
  <c r="AQ9" i="1"/>
  <c r="N6" i="1"/>
  <c r="E4" i="3" s="1"/>
  <c r="AB6" i="1"/>
  <c r="S4" i="3" s="1"/>
  <c r="AP6" i="1"/>
  <c r="AG4" i="3" s="1"/>
  <c r="K8" i="1"/>
  <c r="B3" i="3" s="1"/>
  <c r="Y8" i="1"/>
  <c r="P3" i="3" s="1"/>
  <c r="AM8" i="1"/>
  <c r="AD3" i="3" s="1"/>
  <c r="P9" i="1"/>
  <c r="AD9" i="1"/>
  <c r="AR9" i="1"/>
  <c r="Q6" i="1"/>
  <c r="H4" i="3" s="1"/>
  <c r="AE6" i="1"/>
  <c r="V4" i="3" s="1"/>
  <c r="AS6" i="1"/>
  <c r="AJ4" i="3" s="1"/>
  <c r="AG9" i="1"/>
  <c r="R6" i="1"/>
  <c r="I4" i="3" s="1"/>
  <c r="AF6" i="1"/>
  <c r="W4" i="3" s="1"/>
  <c r="AT6" i="1"/>
  <c r="AK4" i="3" s="1"/>
  <c r="O8" i="1"/>
  <c r="AC8" i="1"/>
  <c r="AQ8" i="1"/>
  <c r="T9" i="1"/>
  <c r="K3" i="3" s="1"/>
  <c r="AH9" i="1"/>
  <c r="Y3" i="3" s="1"/>
  <c r="S6" i="1"/>
  <c r="J4" i="3" s="1"/>
  <c r="AG6" i="1"/>
  <c r="X4" i="3" s="1"/>
  <c r="P8" i="1"/>
  <c r="AD8" i="1"/>
  <c r="AR8" i="1"/>
  <c r="U9" i="1"/>
  <c r="AI9" i="1"/>
  <c r="Z3" i="3" s="1"/>
  <c r="T6" i="1"/>
  <c r="K4" i="3" s="1"/>
  <c r="AH6" i="1"/>
  <c r="Y4" i="3" s="1"/>
  <c r="Q8" i="1"/>
  <c r="H3" i="3" s="1"/>
  <c r="AE8" i="1"/>
  <c r="V3" i="3" s="1"/>
  <c r="AS8" i="1"/>
  <c r="AJ3" i="3" s="1"/>
  <c r="V9" i="1"/>
  <c r="M3" i="3" s="1"/>
  <c r="AJ9" i="1"/>
  <c r="AA3" i="3" s="1"/>
  <c r="S9" i="1"/>
  <c r="U6" i="1"/>
  <c r="L4" i="3" s="1"/>
  <c r="R8" i="1"/>
  <c r="I3" i="3" s="1"/>
  <c r="AF8" i="1"/>
  <c r="W3" i="3" s="1"/>
  <c r="W9" i="1"/>
  <c r="N3" i="3" s="1"/>
  <c r="L3" i="3" l="1"/>
  <c r="F3" i="3"/>
  <c r="G3" i="3"/>
  <c r="D3" i="3"/>
  <c r="AE3" i="3"/>
  <c r="AE5" i="3" s="1"/>
  <c r="J3" i="3"/>
  <c r="C7" i="4" s="1"/>
  <c r="Q3" i="3"/>
  <c r="R3" i="3"/>
  <c r="R5" i="3" s="1"/>
  <c r="X12" i="1"/>
  <c r="AQ12" i="1"/>
  <c r="X3" i="3"/>
  <c r="X5" i="3" s="1"/>
  <c r="E8" i="4"/>
  <c r="AI3" i="3"/>
  <c r="AI5" i="3" s="1"/>
  <c r="U3" i="3"/>
  <c r="U5" i="3" s="1"/>
  <c r="D8" i="4"/>
  <c r="T3" i="3"/>
  <c r="T5" i="3" s="1"/>
  <c r="H5" i="3"/>
  <c r="AG12" i="1"/>
  <c r="AR12" i="1"/>
  <c r="AO12" i="1"/>
  <c r="AF5" i="3"/>
  <c r="AD12" i="1"/>
  <c r="AJ5" i="3"/>
  <c r="G5" i="3"/>
  <c r="P12" i="1"/>
  <c r="AP12" i="1"/>
  <c r="AG5" i="3"/>
  <c r="AC12" i="1"/>
  <c r="AA12" i="1"/>
  <c r="AM12" i="1"/>
  <c r="AD5" i="3"/>
  <c r="K12" i="1"/>
  <c r="AK12" i="1"/>
  <c r="AB5" i="3"/>
  <c r="AI12" i="1"/>
  <c r="W12" i="1"/>
  <c r="U12" i="1"/>
  <c r="L5" i="3"/>
  <c r="F5" i="3"/>
  <c r="O12" i="1"/>
  <c r="M12" i="1"/>
  <c r="D5" i="3"/>
  <c r="S12" i="1"/>
  <c r="J5" i="3"/>
  <c r="AH12" i="1"/>
  <c r="Y5" i="3"/>
  <c r="AS12" i="1"/>
  <c r="AN12" i="1"/>
  <c r="AL12" i="1"/>
  <c r="AE12" i="1"/>
  <c r="V5" i="3"/>
  <c r="Q12" i="1"/>
  <c r="Z12" i="1"/>
  <c r="Q5" i="3"/>
  <c r="N12" i="1"/>
  <c r="E5" i="3"/>
  <c r="AC3" i="3"/>
  <c r="AC5" i="3" s="1"/>
  <c r="AT12" i="1"/>
  <c r="AK5" i="3"/>
  <c r="AB12" i="1"/>
  <c r="S5" i="3"/>
  <c r="L12" i="1"/>
  <c r="C5" i="3"/>
  <c r="AH3" i="3"/>
  <c r="AH5" i="3" s="1"/>
  <c r="Y12" i="1"/>
  <c r="P5" i="3"/>
  <c r="AJ12" i="1"/>
  <c r="AA5" i="3"/>
  <c r="O3" i="3"/>
  <c r="T12" i="1"/>
  <c r="K5" i="3"/>
  <c r="C8" i="4"/>
  <c r="AF12" i="1"/>
  <c r="W5" i="3"/>
  <c r="V12" i="1"/>
  <c r="M5" i="3"/>
  <c r="R12" i="1"/>
  <c r="I5" i="3"/>
  <c r="AH13" i="1" l="1"/>
  <c r="E7" i="4"/>
  <c r="D7" i="4"/>
  <c r="D9" i="4"/>
  <c r="N5" i="3"/>
  <c r="B5" i="3"/>
  <c r="M6" i="3" s="1"/>
  <c r="C9" i="4"/>
  <c r="V13" i="1"/>
  <c r="E9" i="4"/>
  <c r="Z5" i="3"/>
  <c r="AK6" i="3" s="1"/>
  <c r="O5" i="3"/>
  <c r="AT13" i="1"/>
  <c r="Y6" i="3" l="1"/>
</calcChain>
</file>

<file path=xl/sharedStrings.xml><?xml version="1.0" encoding="utf-8"?>
<sst xmlns="http://schemas.openxmlformats.org/spreadsheetml/2006/main" count="158" uniqueCount="118">
  <si>
    <t>BOM</t>
  </si>
  <si>
    <t>Cluster</t>
  </si>
  <si>
    <t xml:space="preserve">Part Number </t>
  </si>
  <si>
    <t>Product</t>
  </si>
  <si>
    <t>Quantity</t>
  </si>
  <si>
    <t>Metric</t>
  </si>
  <si>
    <t>Price (USD)</t>
  </si>
  <si>
    <t>Term</t>
  </si>
  <si>
    <t>Descuento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</si>
  <si>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</si>
  <si>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</si>
  <si>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</si>
  <si>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</si>
  <si>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</si>
  <si>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</si>
  <si>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</si>
  <si>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</si>
  <si>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</si>
  <si>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</si>
  <si>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</si>
  <si>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</si>
  <si>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</si>
  <si>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</si>
  <si>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</si>
  <si>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</si>
  <si>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</si>
  <si>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</si>
  <si>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</si>
  <si>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</si>
  <si>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</si>
  <si>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</si>
  <si>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</si>
  <si>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</si>
  <si>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Month 25</t>
  </si>
  <si>
    <t>Month 26</t>
  </si>
  <si>
    <t>Month 27</t>
  </si>
  <si>
    <t>Month 28</t>
  </si>
  <si>
    <t>Month 29</t>
  </si>
  <si>
    <t>Month 30</t>
  </si>
  <si>
    <t>Month 31</t>
  </si>
  <si>
    <t>Month 32</t>
  </si>
  <si>
    <t>Month 33</t>
  </si>
  <si>
    <t>Month 34</t>
  </si>
  <si>
    <t>Month 35</t>
  </si>
  <si>
    <t>Month 36</t>
  </si>
  <si>
    <t>OCPU Per Hour</t>
  </si>
  <si>
    <t>B91961</t>
  </si>
  <si>
    <t xml:space="preserve">Oracle Cloud Infrastructure - Block Volume Storage </t>
  </si>
  <si>
    <t>Gigabyte Storage Capacity Per Month</t>
  </si>
  <si>
    <t>B91962</t>
  </si>
  <si>
    <t>Oracle Cloud Infrastructure - Block Volume Performance</t>
  </si>
  <si>
    <t>Performance Units Per Gigabyte Per Month</t>
  </si>
  <si>
    <t>Networking</t>
  </si>
  <si>
    <t>B88326</t>
  </si>
  <si>
    <t>Oracle Cloud Infrastructure - FastConnect 10 Gbps</t>
  </si>
  <si>
    <t>Port Hour</t>
  </si>
  <si>
    <t>OCI Kubernetes Engine</t>
  </si>
  <si>
    <t>Computo</t>
  </si>
  <si>
    <t>B96545</t>
  </si>
  <si>
    <t>Oracle Container Engine for Kubernetes - Enhanced Cluster</t>
  </si>
  <si>
    <t>Cluster Per Hour</t>
  </si>
  <si>
    <t>B94176</t>
  </si>
  <si>
    <t>Oracle Cloud Infrastructure - Compute - Standard - X9</t>
  </si>
  <si>
    <t>B94177</t>
  </si>
  <si>
    <t>Oracle Cloud Infrastructure - Compute - Standard - Memory</t>
  </si>
  <si>
    <t>GB per hour</t>
  </si>
  <si>
    <t>Total Año 1:</t>
  </si>
  <si>
    <t>Total Año 2:</t>
  </si>
  <si>
    <t>Total Año 3:</t>
  </si>
  <si>
    <t>VMWare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</si>
  <si>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</si>
  <si>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</si>
  <si>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</si>
  <si>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</si>
  <si>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</si>
  <si>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</si>
  <si>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</si>
  <si>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</si>
  <si>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</si>
  <si>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</si>
  <si>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</si>
  <si>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</si>
  <si>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</si>
  <si>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</si>
  <si>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</si>
  <si>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</si>
  <si>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</si>
  <si>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</si>
  <si>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Mes 19</t>
  </si>
  <si>
    <t>Mes 20</t>
  </si>
  <si>
    <t>Mes 21</t>
  </si>
  <si>
    <t>Mes 22</t>
  </si>
  <si>
    <t>Mes 23</t>
  </si>
  <si>
    <t>Mes 24</t>
  </si>
  <si>
    <t>Mes 25</t>
  </si>
  <si>
    <t>Mes 26</t>
  </si>
  <si>
    <t>Mes 27</t>
  </si>
  <si>
    <t>Mes 28</t>
  </si>
  <si>
    <t>Mes 29</t>
  </si>
  <si>
    <t>Mes 30</t>
  </si>
  <si>
    <t>Mes 31</t>
  </si>
  <si>
    <t>Mes 32</t>
  </si>
  <si>
    <t>Mes 33</t>
  </si>
  <si>
    <t>Mes 34</t>
  </si>
  <si>
    <t>Mes 35</t>
  </si>
  <si>
    <t>Mes 36</t>
  </si>
  <si>
    <t>OKE - Produccion</t>
  </si>
  <si>
    <t>Networking - Fastconnect</t>
  </si>
  <si>
    <t>Resumen BoM</t>
  </si>
  <si>
    <t>Concepto</t>
  </si>
  <si>
    <t>Comentarios</t>
  </si>
  <si>
    <t>Total Año 1</t>
  </si>
  <si>
    <t>Total Año 2</t>
  </si>
  <si>
    <t>Total Año 3</t>
  </si>
  <si>
    <t>Ambiente Produccion - Cluster OCI Kubernetes</t>
  </si>
  <si>
    <t>2x Puertos FastConnect 10GB</t>
  </si>
  <si>
    <t>Total Creditos Universales OCI (USD)</t>
  </si>
  <si>
    <t>FastConnect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</si>
</sst>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"/>
    <numFmt numFmtId="166" formatCode="&quot;$&quot;\ #,##0.00"/>
    <numFmt numFmtId="167" formatCode="_(&quot;$&quot;\ * #,##0_);_(&quot;$&quot;\ * \(#,##0\);_(&quot;$&quot;\ * &quot;-&quot;??_);_(@_)"/>
  </numFmts>
  <fonts count="17">
    <font>
      <sz val="11"/>
      <color rgb="FF000000"/>
      <name val="Calibri"/>
      <scheme val="minor"/>
    </font>
    <font>
      <sz val="9"/>
      <color theme="1"/>
      <name val="Oracle Sans"/>
    </font>
    <font>
      <b/>
      <u/>
      <sz val="9"/>
      <color theme="1"/>
      <name val="Oracle Sans"/>
    </font>
    <font>
      <b/>
      <sz val="9"/>
      <color theme="0"/>
      <name val="Oracle Sans"/>
    </font>
    <font>
      <sz val="9"/>
      <color rgb="FF000000"/>
      <name val="Verdana"/>
      <family val="2"/>
    </font>
    <font>
      <sz val="11"/>
      <name val="Calibri"/>
      <family val="2"/>
    </font>
    <font>
      <b/>
      <sz val="9"/>
      <color theme="1"/>
      <name val="Oracle Sans"/>
    </font>
    <font>
      <b/>
      <sz val="9"/>
      <color rgb="FFFF0000"/>
      <name val="Oracle Sans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theme="1"/>
      <name val="Calibri"/>
      <family val="2"/>
    </font>
    <font>
      <b/>
      <sz val="10"/>
      <color rgb="FFFFC000"/>
      <name val="Oracle Sans"/>
    </font>
    <font>
      <b/>
      <sz val="10"/>
      <color rgb="FFFCFBFA"/>
      <name val="Oracle Sans"/>
    </font>
    <font>
      <b/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EECE1"/>
        <bgColor rgb="FFEEECE1"/>
      </patternFill>
    </fill>
    <fill>
      <patternFill patternType="solid">
        <fgColor theme="7"/>
        <bgColor theme="7"/>
      </patternFill>
    </fill>
    <fill>
      <patternFill patternType="solid">
        <fgColor rgb="FF2C5967"/>
        <bgColor rgb="FF2C5967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312D2A"/>
      </left>
      <right/>
      <top style="medium">
        <color rgb="FF000000"/>
      </top>
      <bottom style="medium">
        <color rgb="FF312D2A"/>
      </bottom>
      <diagonal/>
    </border>
    <border>
      <left/>
      <right/>
      <top style="medium">
        <color rgb="FF000000"/>
      </top>
      <bottom style="medium">
        <color rgb="FF312D2A"/>
      </bottom>
      <diagonal/>
    </border>
    <border>
      <left/>
      <right style="medium">
        <color rgb="FF312D2A"/>
      </right>
      <top style="medium">
        <color rgb="FF000000"/>
      </top>
      <bottom style="medium">
        <color rgb="FF312D2A"/>
      </bottom>
      <diagonal/>
    </border>
    <border>
      <left/>
      <right/>
      <top style="medium">
        <color rgb="FF000000"/>
      </top>
      <bottom style="medium">
        <color rgb="FF312D2A"/>
      </bottom>
      <diagonal/>
    </border>
    <border>
      <left style="medium">
        <color rgb="FF312D2A"/>
      </left>
      <right style="medium">
        <color rgb="FF312D2A"/>
      </right>
      <top style="medium">
        <color rgb="FF312D2A"/>
      </top>
      <bottom style="medium">
        <color rgb="FF312D2A"/>
      </bottom>
      <diagonal/>
    </border>
    <border>
      <left/>
      <right/>
      <top style="medium">
        <color rgb="FF312D2A"/>
      </top>
      <bottom style="medium">
        <color rgb="FF312D2A"/>
      </bottom>
      <diagonal/>
    </border>
    <border>
      <left/>
      <right style="medium">
        <color rgb="FF312D2A"/>
      </right>
      <top style="medium">
        <color rgb="FF312D2A"/>
      </top>
      <bottom style="medium">
        <color rgb="FF312D2A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312D2A"/>
      </left>
      <right/>
      <top style="thick">
        <color rgb="FF312D2A"/>
      </top>
      <bottom style="thick">
        <color rgb="FF312D2A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9" fontId="3" fillId="2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2" borderId="4" xfId="0" applyFont="1" applyFill="1" applyBorder="1"/>
    <xf numFmtId="164" fontId="1" fillId="2" borderId="4" xfId="0" applyNumberFormat="1" applyFont="1" applyFill="1" applyBorder="1"/>
    <xf numFmtId="9" fontId="1" fillId="2" borderId="4" xfId="0" applyNumberFormat="1" applyFont="1" applyFill="1" applyBorder="1" applyAlignment="1">
      <alignment horizontal="center"/>
    </xf>
    <xf numFmtId="165" fontId="1" fillId="2" borderId="4" xfId="0" applyNumberFormat="1" applyFont="1" applyFill="1" applyBorder="1"/>
    <xf numFmtId="165" fontId="1" fillId="2" borderId="5" xfId="0" applyNumberFormat="1" applyFont="1" applyFill="1" applyBorder="1"/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/>
    <xf numFmtId="3" fontId="1" fillId="2" borderId="8" xfId="0" applyNumberFormat="1" applyFont="1" applyFill="1" applyBorder="1" applyAlignment="1">
      <alignment horizontal="center"/>
    </xf>
    <xf numFmtId="164" fontId="1" fillId="2" borderId="8" xfId="0" applyNumberFormat="1" applyFont="1" applyFill="1" applyBorder="1"/>
    <xf numFmtId="9" fontId="1" fillId="2" borderId="8" xfId="0" applyNumberFormat="1" applyFont="1" applyFill="1" applyBorder="1" applyAlignment="1">
      <alignment horizontal="center"/>
    </xf>
    <xf numFmtId="165" fontId="1" fillId="2" borderId="8" xfId="0" applyNumberFormat="1" applyFont="1" applyFill="1" applyBorder="1"/>
    <xf numFmtId="165" fontId="1" fillId="2" borderId="9" xfId="0" applyNumberFormat="1" applyFont="1" applyFill="1" applyBorder="1"/>
    <xf numFmtId="0" fontId="5" fillId="0" borderId="10" xfId="0" applyFont="1" applyBorder="1"/>
    <xf numFmtId="0" fontId="4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/>
    </xf>
    <xf numFmtId="0" fontId="1" fillId="2" borderId="12" xfId="0" applyFont="1" applyFill="1" applyBorder="1"/>
    <xf numFmtId="164" fontId="1" fillId="2" borderId="12" xfId="0" applyNumberFormat="1" applyFont="1" applyFill="1" applyBorder="1"/>
    <xf numFmtId="9" fontId="1" fillId="2" borderId="12" xfId="0" applyNumberFormat="1" applyFont="1" applyFill="1" applyBorder="1" applyAlignment="1">
      <alignment horizontal="center"/>
    </xf>
    <xf numFmtId="165" fontId="1" fillId="2" borderId="12" xfId="0" applyNumberFormat="1" applyFont="1" applyFill="1" applyBorder="1"/>
    <xf numFmtId="165" fontId="1" fillId="2" borderId="13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4" xfId="0" applyFont="1" applyBorder="1"/>
    <xf numFmtId="1" fontId="1" fillId="2" borderId="8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wrapText="1"/>
    </xf>
    <xf numFmtId="165" fontId="6" fillId="2" borderId="15" xfId="0" applyNumberFormat="1" applyFont="1" applyFill="1" applyBorder="1"/>
    <xf numFmtId="165" fontId="6" fillId="2" borderId="16" xfId="0" applyNumberFormat="1" applyFont="1" applyFill="1" applyBorder="1"/>
    <xf numFmtId="165" fontId="6" fillId="2" borderId="17" xfId="0" applyNumberFormat="1" applyFont="1" applyFill="1" applyBorder="1"/>
    <xf numFmtId="0" fontId="3" fillId="3" borderId="18" xfId="0" applyFont="1" applyFill="1" applyBorder="1"/>
    <xf numFmtId="165" fontId="7" fillId="2" borderId="18" xfId="0" applyNumberFormat="1" applyFont="1" applyFill="1" applyBorder="1"/>
    <xf numFmtId="0" fontId="9" fillId="3" borderId="8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166" fontId="10" fillId="0" borderId="19" xfId="0" applyNumberFormat="1" applyFont="1" applyBorder="1"/>
    <xf numFmtId="166" fontId="11" fillId="0" borderId="0" xfId="0" applyNumberFormat="1" applyFont="1"/>
    <xf numFmtId="166" fontId="12" fillId="0" borderId="0" xfId="0" applyNumberFormat="1" applyFont="1"/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3" fillId="4" borderId="1" xfId="0" applyFont="1" applyFill="1" applyBorder="1"/>
    <xf numFmtId="0" fontId="13" fillId="5" borderId="1" xfId="0" applyFont="1" applyFill="1" applyBorder="1"/>
    <xf numFmtId="0" fontId="15" fillId="6" borderId="23" xfId="0" applyFont="1" applyFill="1" applyBorder="1" applyAlignment="1">
      <alignment horizontal="left" vertical="center" wrapText="1" readingOrder="1"/>
    </xf>
    <xf numFmtId="0" fontId="15" fillId="6" borderId="24" xfId="0" applyFont="1" applyFill="1" applyBorder="1" applyAlignment="1">
      <alignment horizontal="left" vertical="center" wrapText="1" readingOrder="1"/>
    </xf>
    <xf numFmtId="0" fontId="15" fillId="6" borderId="25" xfId="0" applyFont="1" applyFill="1" applyBorder="1" applyAlignment="1">
      <alignment horizontal="left" vertical="center" wrapText="1" readingOrder="1"/>
    </xf>
    <xf numFmtId="0" fontId="15" fillId="6" borderId="26" xfId="0" applyFont="1" applyFill="1" applyBorder="1" applyAlignment="1">
      <alignment horizontal="left" vertical="center" wrapText="1" readingOrder="1"/>
    </xf>
    <xf numFmtId="0" fontId="6" fillId="2" borderId="27" xfId="0" applyFont="1" applyFill="1" applyBorder="1"/>
    <xf numFmtId="167" fontId="1" fillId="2" borderId="28" xfId="0" applyNumberFormat="1" applyFont="1" applyFill="1" applyBorder="1"/>
    <xf numFmtId="167" fontId="1" fillId="2" borderId="29" xfId="0" applyNumberFormat="1" applyFont="1" applyFill="1" applyBorder="1"/>
    <xf numFmtId="0" fontId="10" fillId="2" borderId="1" xfId="0" applyFont="1" applyFill="1" applyBorder="1"/>
    <xf numFmtId="0" fontId="15" fillId="6" borderId="30" xfId="0" applyFont="1" applyFill="1" applyBorder="1" applyAlignment="1">
      <alignment horizontal="left" vertical="center" wrapText="1" readingOrder="1"/>
    </xf>
    <xf numFmtId="167" fontId="16" fillId="2" borderId="31" xfId="0" applyNumberFormat="1" applyFont="1" applyFill="1" applyBorder="1"/>
    <xf numFmtId="167" fontId="16" fillId="2" borderId="32" xfId="0" applyNumberFormat="1" applyFont="1" applyFill="1" applyBorder="1"/>
    <xf numFmtId="167" fontId="16" fillId="2" borderId="33" xfId="0" applyNumberFormat="1" applyFont="1" applyFill="1" applyBorder="1"/>
    <xf numFmtId="0" fontId="5" fillId="0" borderId="6" xfId="0" applyFont="1" applyBorder="1"/>
    <xf numFmtId="0" fontId="5" fillId="0" borderId="10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7" xfId="0" applyFont="1" applyBorder="1"/>
    <xf numFmtId="0" fontId="5" fillId="0" borderId="14" xfId="0" applyFont="1" applyBorder="1"/>
    <xf numFmtId="0" fontId="14" fillId="6" borderId="20" xfId="0" applyFont="1" applyFill="1" applyBorder="1" applyAlignment="1">
      <alignment horizontal="center" vertical="center" wrapText="1" readingOrder="1"/>
    </xf>
    <xf numFmtId="0" fontId="5" fillId="0" borderId="21" xfId="0" applyFont="1" applyBorder="1"/>
    <xf numFmtId="0" fontId="5" fillId="0" borderId="2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636050</xdr:colOff>
      <xdr:row>23</xdr:row>
      <xdr:rowOff>81767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F0737B-10E2-621B-FEE8-CD32482B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26205" cy="41681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T970"/>
  <sheetViews>
    <sheetView workbookViewId="0">
      <selection activeCell="E39" sqref="E39"/>
    </sheetView>
  </sheetViews>
  <sheetFormatPr baseColWidth="10" defaultColWidth="14.5" defaultRowHeight="15" customHeight="1"/>
  <cols>
    <col min="1" max="1" width="4.1640625" customWidth="1"/>
    <col min="2" max="3" width="16" customWidth="1"/>
    <col min="4" max="4" width="10.83203125" customWidth="1"/>
    <col min="5" max="5" width="47" customWidth="1"/>
    <col min="6" max="6" width="13.6640625" customWidth="1"/>
    <col min="7" max="7" width="34.6640625" customWidth="1"/>
    <col min="8" max="8" width="9.5" customWidth="1"/>
    <col min="9" max="9" width="5.5" customWidth="1"/>
    <col min="10" max="10" width="9.5" customWidth="1"/>
    <col min="11" max="19" width="9" customWidth="1"/>
    <col min="20" max="20" width="9.5" customWidth="1"/>
    <col min="21" max="21" width="9.83203125" customWidth="1"/>
    <col min="22" max="22" width="10.1640625" customWidth="1"/>
    <col min="23" max="29" width="9.5" customWidth="1"/>
    <col min="30" max="30" width="9.83203125" customWidth="1"/>
    <col min="31" max="31" width="9.5" customWidth="1"/>
    <col min="32" max="32" width="9.83203125" customWidth="1"/>
    <col min="33" max="33" width="12.5" customWidth="1"/>
    <col min="34" max="40" width="9.83203125" customWidth="1"/>
    <col min="41" max="41" width="9.5" customWidth="1"/>
    <col min="42" max="44" width="9.83203125" customWidth="1"/>
    <col min="45" max="45" width="12.5" customWidth="1"/>
    <col min="46" max="46" width="9.83203125" customWidth="1"/>
  </cols>
  <sheetData>
    <row r="1" spans="1:46" ht="12" customHeight="1">
      <c r="A1" s="1"/>
      <c r="B1" s="1"/>
      <c r="C1" s="1"/>
      <c r="D1" s="2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ht="12" customHeight="1">
      <c r="A2" s="1"/>
      <c r="B2" s="3" t="s">
        <v>0</v>
      </c>
      <c r="C2" s="3"/>
      <c r="D2" s="1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ht="12" customHeight="1">
      <c r="A3" s="1"/>
      <c r="B3" s="1"/>
      <c r="C3" s="1"/>
      <c r="D3" s="4"/>
      <c r="E3" s="5"/>
      <c r="F3" s="4"/>
      <c r="G3" s="5"/>
      <c r="H3" s="5"/>
      <c r="I3" s="5">
        <v>730</v>
      </c>
      <c r="J3" s="6">
        <v>0</v>
      </c>
      <c r="K3" s="5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ht="12" customHeight="1">
      <c r="A4" s="1"/>
      <c r="B4" s="1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ht="12" customHeight="1">
      <c r="A5" s="1"/>
      <c r="B5" s="7" t="s">
        <v>1</v>
      </c>
      <c r="C5" s="7"/>
      <c r="D5" s="7" t="s">
        <v>2</v>
      </c>
      <c r="E5" s="8" t="s">
        <v>3</v>
      </c>
      <c r="F5" s="7" t="s">
        <v>4</v>
      </c>
      <c r="G5" s="8" t="s">
        <v>5</v>
      </c>
      <c r="H5" s="8" t="s">
        <v>6</v>
      </c>
      <c r="I5" s="8" t="s">
        <v>7</v>
      </c>
      <c r="J5" s="8" t="s">
        <v>8</v>
      </c>
      <c r="K5" s="7" t="s">
        <v>9</v>
      </c>
      <c r="L5" s="7" t="s">
        <v>10</v>
      </c>
      <c r="M5" s="7" t="s">
        <v>11</v>
      </c>
      <c r="N5" s="7" t="s">
        <v>12</v>
      </c>
      <c r="O5" s="7" t="s">
        <v>13</v>
      </c>
      <c r="P5" s="7" t="s">
        <v>14</v>
      </c>
      <c r="Q5" s="7" t="s">
        <v>15</v>
      </c>
      <c r="R5" s="7" t="s">
        <v>16</v>
      </c>
      <c r="S5" s="7" t="s">
        <v>17</v>
      </c>
      <c r="T5" s="7" t="s">
        <v>18</v>
      </c>
      <c r="U5" s="7" t="s">
        <v>19</v>
      </c>
      <c r="V5" s="7" t="s">
        <v>20</v>
      </c>
      <c r="W5" s="7" t="s">
        <v>21</v>
      </c>
      <c r="X5" s="7" t="s">
        <v>22</v>
      </c>
      <c r="Y5" s="7" t="s">
        <v>23</v>
      </c>
      <c r="Z5" s="7" t="s">
        <v>24</v>
      </c>
      <c r="AA5" s="7" t="s">
        <v>25</v>
      </c>
      <c r="AB5" s="7" t="s">
        <v>26</v>
      </c>
      <c r="AC5" s="7" t="s">
        <v>27</v>
      </c>
      <c r="AD5" s="7" t="s">
        <v>28</v>
      </c>
      <c r="AE5" s="7" t="s">
        <v>29</v>
      </c>
      <c r="AF5" s="7" t="s">
        <v>30</v>
      </c>
      <c r="AG5" s="7" t="s">
        <v>31</v>
      </c>
      <c r="AH5" s="7" t="s">
        <v>32</v>
      </c>
      <c r="AI5" s="7" t="s">
        <v>33</v>
      </c>
      <c r="AJ5" s="7" t="s">
        <v>34</v>
      </c>
      <c r="AK5" s="7" t="s">
        <v>35</v>
      </c>
      <c r="AL5" s="7" t="s">
        <v>36</v>
      </c>
      <c r="AM5" s="7" t="s">
        <v>37</v>
      </c>
      <c r="AN5" s="7" t="s">
        <v>38</v>
      </c>
      <c r="AO5" s="7" t="s">
        <v>39</v>
      </c>
      <c r="AP5" s="7" t="s">
        <v>40</v>
      </c>
      <c r="AQ5" s="7" t="s">
        <v>41</v>
      </c>
      <c r="AR5" s="7" t="s">
        <v>42</v>
      </c>
      <c r="AS5" s="7" t="s">
        <v>43</v>
      </c>
      <c r="AT5" s="7" t="s">
        <v>44</v>
      </c>
    </row>
    <row r="6" spans="1:46" ht="12" customHeight="1">
      <c r="A6" s="1"/>
      <c r="B6" s="21" t="s">
        <v>52</v>
      </c>
      <c r="C6" s="22" t="s">
        <v>117</v>
      </c>
      <c r="D6" s="23" t="s">
        <v>53</v>
      </c>
      <c r="E6" s="24" t="s">
        <v>54</v>
      </c>
      <c r="F6" s="23">
        <v>2</v>
      </c>
      <c r="G6" s="24" t="s">
        <v>55</v>
      </c>
      <c r="H6" s="25">
        <v>1.2749999999999999</v>
      </c>
      <c r="I6" s="24">
        <f>$I$3</f>
        <v>730</v>
      </c>
      <c r="J6" s="26">
        <v>0.05</v>
      </c>
      <c r="K6" s="27">
        <f>$F$6*$H$6*$I$6*(1-$J$6)*Rampa!B10</f>
        <v>0</v>
      </c>
      <c r="L6" s="27">
        <f>$F$6*$H$6*$I$6*(1-$J$6)*Rampa!C10</f>
        <v>1768.4249999999997</v>
      </c>
      <c r="M6" s="27">
        <f>$F$6*$H$6*$I$6*(1-$J$6)*Rampa!D10</f>
        <v>1768.4249999999997</v>
      </c>
      <c r="N6" s="27">
        <f>$F$6*$H$6*$I$6*(1-$J$6)*Rampa!E10</f>
        <v>1768.4249999999997</v>
      </c>
      <c r="O6" s="27">
        <f>$F$6*$H$6*$I$6*(1-$J$6)*Rampa!F10</f>
        <v>1768.4249999999997</v>
      </c>
      <c r="P6" s="27">
        <f>$F$6*$H$6*$I$6*(1-$J$6)*Rampa!G10</f>
        <v>1768.4249999999997</v>
      </c>
      <c r="Q6" s="27">
        <f>$F$6*$H$6*$I$6*(1-$J$6)*Rampa!H10</f>
        <v>1768.4249999999997</v>
      </c>
      <c r="R6" s="27">
        <f>$F$6*$H$6*$I$6*(1-$J$6)*Rampa!I10</f>
        <v>1768.4249999999997</v>
      </c>
      <c r="S6" s="27">
        <f>$F$6*$H$6*$I$6*(1-$J$6)*Rampa!J10</f>
        <v>1768.4249999999997</v>
      </c>
      <c r="T6" s="27">
        <f>$F$6*$H$6*$I$6*(1-$J$6)*Rampa!K10</f>
        <v>1768.4249999999997</v>
      </c>
      <c r="U6" s="27">
        <f>$F$6*$H$6*$I$6*(1-$J$6)*Rampa!L10</f>
        <v>1768.4249999999997</v>
      </c>
      <c r="V6" s="27">
        <f>$F$6*$H$6*$I$6*(1-$J$6)*Rampa!M10</f>
        <v>1768.4249999999997</v>
      </c>
      <c r="W6" s="27">
        <f>$F$6*$H$6*$I$6*(1-$J$6)*Rampa!N10</f>
        <v>1768.4249999999997</v>
      </c>
      <c r="X6" s="27">
        <f>$F$6*$H$6*$I$6*(1-$J$6)*Rampa!O10</f>
        <v>1768.4249999999997</v>
      </c>
      <c r="Y6" s="27">
        <f>$F$6*$H$6*$I$6*(1-$J$6)*Rampa!P10</f>
        <v>1768.4249999999997</v>
      </c>
      <c r="Z6" s="27">
        <f>$F$6*$H$6*$I$6*(1-$J$6)*Rampa!Q10</f>
        <v>1768.4249999999997</v>
      </c>
      <c r="AA6" s="27">
        <f>$F$6*$H$6*$I$6*(1-$J$6)*Rampa!R10</f>
        <v>1768.4249999999997</v>
      </c>
      <c r="AB6" s="27">
        <f>$F$6*$H$6*$I$6*(1-$J$6)*Rampa!S10</f>
        <v>1768.4249999999997</v>
      </c>
      <c r="AC6" s="27">
        <f>$F$6*$H$6*$I$6*(1-$J$6)*Rampa!T10</f>
        <v>1768.4249999999997</v>
      </c>
      <c r="AD6" s="27">
        <f>$F$6*$H$6*$I$6*(1-$J$6)*Rampa!U10</f>
        <v>1768.4249999999997</v>
      </c>
      <c r="AE6" s="27">
        <f>$F$6*$H$6*$I$6*(1-$J$6)*Rampa!V10</f>
        <v>1768.4249999999997</v>
      </c>
      <c r="AF6" s="27">
        <f>$F$6*$H$6*$I$6*(1-$J$6)*Rampa!W10</f>
        <v>1768.4249999999997</v>
      </c>
      <c r="AG6" s="27">
        <f>$F$6*$H$6*$I$6*(1-$J$6)*Rampa!X10</f>
        <v>1768.4249999999997</v>
      </c>
      <c r="AH6" s="27">
        <f>$F$6*$H$6*$I$6*(1-$J$6)*Rampa!Y10</f>
        <v>1768.4249999999997</v>
      </c>
      <c r="AI6" s="27">
        <f>$F$6*$H$6*$I$6*(1-$J$6)*Rampa!Z10</f>
        <v>1768.4249999999997</v>
      </c>
      <c r="AJ6" s="27">
        <f>$F$6*$H$6*$I$6*(1-$J$6)*Rampa!AA10</f>
        <v>1768.4249999999997</v>
      </c>
      <c r="AK6" s="27">
        <f>$F$6*$H$6*$I$6*(1-$J$6)*Rampa!AB10</f>
        <v>1768.4249999999997</v>
      </c>
      <c r="AL6" s="27">
        <f>$F$6*$H$6*$I$6*(1-$J$6)*Rampa!AC10</f>
        <v>1768.4249999999997</v>
      </c>
      <c r="AM6" s="27">
        <f>$F$6*$H$6*$I$6*(1-$J$6)*Rampa!AD10</f>
        <v>1768.4249999999997</v>
      </c>
      <c r="AN6" s="27">
        <f>$F$6*$H$6*$I$6*(1-$J$6)*Rampa!AE10</f>
        <v>1768.4249999999997</v>
      </c>
      <c r="AO6" s="27">
        <f>$F$6*$H$6*$I$6*(1-$J$6)*Rampa!AF10</f>
        <v>1768.4249999999997</v>
      </c>
      <c r="AP6" s="27">
        <f>$F$6*$H$6*$I$6*(1-$J$6)*Rampa!AG10</f>
        <v>1768.4249999999997</v>
      </c>
      <c r="AQ6" s="27">
        <f>$F$6*$H$6*$I$6*(1-$J$6)*Rampa!AH10</f>
        <v>1768.4249999999997</v>
      </c>
      <c r="AR6" s="27">
        <f>$F$6*$H$6*$I$6*(1-$J$6)*Rampa!AI10</f>
        <v>1768.4249999999997</v>
      </c>
      <c r="AS6" s="27">
        <f>$F$6*$H$6*$I$6*(1-$J$6)*Rampa!AJ10</f>
        <v>1768.4249999999997</v>
      </c>
      <c r="AT6" s="28">
        <f>$F$6*$H$6*$I$6*(1-$J$6)*Rampa!AK10</f>
        <v>1768.4249999999997</v>
      </c>
    </row>
    <row r="7" spans="1:46" ht="12" customHeight="1">
      <c r="A7" s="1"/>
      <c r="B7" s="61" t="s">
        <v>56</v>
      </c>
      <c r="C7" s="62" t="s">
        <v>57</v>
      </c>
      <c r="D7" s="29" t="s">
        <v>58</v>
      </c>
      <c r="E7" s="30" t="s">
        <v>59</v>
      </c>
      <c r="F7" s="29">
        <v>1</v>
      </c>
      <c r="G7" s="30" t="s">
        <v>60</v>
      </c>
      <c r="H7" s="10">
        <v>0.1</v>
      </c>
      <c r="I7" s="9">
        <v>730</v>
      </c>
      <c r="J7" s="11">
        <v>0.05</v>
      </c>
      <c r="K7" s="12">
        <f>$F$7*$H$7*$I$7*(1-$J$7)*Rampa!B9</f>
        <v>0</v>
      </c>
      <c r="L7" s="12">
        <f>$F$7*$H$7*$I$7*(1-$J$7)*Rampa!C9</f>
        <v>69.349999999999994</v>
      </c>
      <c r="M7" s="12">
        <f>$F$7*$H$7*$I$7*(1-$J$7)*Rampa!D9</f>
        <v>69.349999999999994</v>
      </c>
      <c r="N7" s="12">
        <f>$F$7*$H$7*$I$7*(1-$J$7)*Rampa!E9</f>
        <v>69.349999999999994</v>
      </c>
      <c r="O7" s="12">
        <f>$F$7*$H$7*$I$7*(1-$J$7)*Rampa!F9</f>
        <v>69.349999999999994</v>
      </c>
      <c r="P7" s="12">
        <f>$F$7*$H$7*$I$7*(1-$J$7)*Rampa!G9</f>
        <v>69.349999999999994</v>
      </c>
      <c r="Q7" s="12">
        <f>$F$7*$H$7*$I$7*(1-$J$7)*Rampa!H9</f>
        <v>69.349999999999994</v>
      </c>
      <c r="R7" s="12">
        <f>$F$7*$H$7*$I$7*(1-$J$7)*Rampa!I9</f>
        <v>69.349999999999994</v>
      </c>
      <c r="S7" s="12">
        <f>$F$7*$H$7*$I$7*(1-$J$7)*Rampa!J9</f>
        <v>69.349999999999994</v>
      </c>
      <c r="T7" s="12">
        <f>$F$7*$H$7*$I$7*(1-$J$7)*Rampa!K9</f>
        <v>69.349999999999994</v>
      </c>
      <c r="U7" s="12">
        <f>$F$7*$H$7*$I$7*(1-$J$7)*Rampa!L9</f>
        <v>69.349999999999994</v>
      </c>
      <c r="V7" s="12">
        <f>$F$7*$H$7*$I$7*(1-$J$7)*Rampa!M9</f>
        <v>69.349999999999994</v>
      </c>
      <c r="W7" s="12">
        <f>$F$7*$H$7*$I$7*(1-$J$7)*Rampa!N9</f>
        <v>69.349999999999994</v>
      </c>
      <c r="X7" s="12">
        <f>$F$7*$H$7*$I$7*(1-$J$7)*Rampa!O9</f>
        <v>69.349999999999994</v>
      </c>
      <c r="Y7" s="12">
        <f>$F$7*$H$7*$I$7*(1-$J$7)*Rampa!P9</f>
        <v>69.349999999999994</v>
      </c>
      <c r="Z7" s="12">
        <f>$F$7*$H$7*$I$7*(1-$J$7)*Rampa!Q9</f>
        <v>69.349999999999994</v>
      </c>
      <c r="AA7" s="12">
        <f>$F$7*$H$7*$I$7*(1-$J$7)*Rampa!R9</f>
        <v>69.349999999999994</v>
      </c>
      <c r="AB7" s="12">
        <f>$F$7*$H$7*$I$7*(1-$J$7)*Rampa!S9</f>
        <v>69.349999999999994</v>
      </c>
      <c r="AC7" s="12">
        <f>$F$7*$H$7*$I$7*(1-$J$7)*Rampa!T9</f>
        <v>69.349999999999994</v>
      </c>
      <c r="AD7" s="12">
        <f>$F$7*$H$7*$I$7*(1-$J$7)*Rampa!U9</f>
        <v>69.349999999999994</v>
      </c>
      <c r="AE7" s="12">
        <f>$F$7*$H$7*$I$7*(1-$J$7)*Rampa!V9</f>
        <v>69.349999999999994</v>
      </c>
      <c r="AF7" s="12">
        <f>$F$7*$H$7*$I$7*(1-$J$7)*Rampa!W9</f>
        <v>69.349999999999994</v>
      </c>
      <c r="AG7" s="12">
        <f>$F$7*$H$7*$I$7*(1-$J$7)*Rampa!X9</f>
        <v>69.349999999999994</v>
      </c>
      <c r="AH7" s="12">
        <f>$F$7*$H$7*$I$7*(1-$J$7)*Rampa!Y9</f>
        <v>69.349999999999994</v>
      </c>
      <c r="AI7" s="12">
        <f>$F$7*$H$7*$I$7*(1-$J$7)*Rampa!Z9</f>
        <v>69.349999999999994</v>
      </c>
      <c r="AJ7" s="12">
        <f>$F$7*$H$7*$I$7*(1-$J$7)*Rampa!AA9</f>
        <v>69.349999999999994</v>
      </c>
      <c r="AK7" s="12">
        <f>$F$7*$H$7*$I$7*(1-$J$7)*Rampa!AB9</f>
        <v>69.349999999999994</v>
      </c>
      <c r="AL7" s="12">
        <f>$F$7*$H$7*$I$7*(1-$J$7)*Rampa!AC9</f>
        <v>69.349999999999994</v>
      </c>
      <c r="AM7" s="12">
        <f>$F$7*$H$7*$I$7*(1-$J$7)*Rampa!AD9</f>
        <v>69.349999999999994</v>
      </c>
      <c r="AN7" s="12">
        <f>$F$7*$H$7*$I$7*(1-$J$7)*Rampa!AE9</f>
        <v>69.349999999999994</v>
      </c>
      <c r="AO7" s="12">
        <f>$F$7*$H$7*$I$7*(1-$J$7)*Rampa!AF9</f>
        <v>69.349999999999994</v>
      </c>
      <c r="AP7" s="12">
        <f>$F$7*$H$7*$I$7*(1-$J$7)*Rampa!AG9</f>
        <v>69.349999999999994</v>
      </c>
      <c r="AQ7" s="12">
        <f>$F$7*$H$7*$I$7*(1-$J$7)*Rampa!AH9</f>
        <v>69.349999999999994</v>
      </c>
      <c r="AR7" s="12">
        <f>$F$7*$H$7*$I$7*(1-$J$7)*Rampa!AI9</f>
        <v>69.349999999999994</v>
      </c>
      <c r="AS7" s="12">
        <f>$F$7*$H$7*$I$7*(1-$J$7)*Rampa!AJ9</f>
        <v>69.349999999999994</v>
      </c>
      <c r="AT7" s="13">
        <f>$F$7*$H$7*$I$7*(1-$J$7)*Rampa!AK9</f>
        <v>69.349999999999994</v>
      </c>
    </row>
    <row r="8" spans="1:46" ht="12" customHeight="1">
      <c r="A8" s="1"/>
      <c r="B8" s="59"/>
      <c r="C8" s="63"/>
      <c r="D8" s="14" t="s">
        <v>61</v>
      </c>
      <c r="E8" s="15" t="s">
        <v>62</v>
      </c>
      <c r="F8" s="16">
        <v>48</v>
      </c>
      <c r="G8" s="15" t="s">
        <v>45</v>
      </c>
      <c r="H8" s="17">
        <v>0.04</v>
      </c>
      <c r="I8" s="15">
        <f t="shared" ref="I8:I9" si="0">$I$3</f>
        <v>730</v>
      </c>
      <c r="J8" s="18">
        <v>0.05</v>
      </c>
      <c r="K8" s="19">
        <f>$F$8*$H$8*$I$8*(1-$J$8)*Rampa!B9</f>
        <v>0</v>
      </c>
      <c r="L8" s="19">
        <f>$F$8*$H$8*$I$8*(1-$J$8)*Rampa!C9</f>
        <v>1331.5199999999998</v>
      </c>
      <c r="M8" s="19">
        <f>$F$8*$H$8*$I$8*(1-$J$8)*Rampa!D9</f>
        <v>1331.5199999999998</v>
      </c>
      <c r="N8" s="19">
        <f>$F$8*$H$8*$I$8*(1-$J$8)*Rampa!E9</f>
        <v>1331.5199999999998</v>
      </c>
      <c r="O8" s="19">
        <f>$F$8*$H$8*$I$8*(1-$J$8)*Rampa!F9</f>
        <v>1331.5199999999998</v>
      </c>
      <c r="P8" s="19">
        <f>$F$8*$H$8*$I$8*(1-$J$8)*Rampa!G9</f>
        <v>1331.5199999999998</v>
      </c>
      <c r="Q8" s="19">
        <f>$F$8*$H$8*$I$8*(1-$J$8)*Rampa!H9</f>
        <v>1331.5199999999998</v>
      </c>
      <c r="R8" s="19">
        <f>$F$8*$H$8*$I$8*(1-$J$8)*Rampa!I9</f>
        <v>1331.5199999999998</v>
      </c>
      <c r="S8" s="19">
        <f>$F$8*$H$8*$I$8*(1-$J$8)*Rampa!J9</f>
        <v>1331.5199999999998</v>
      </c>
      <c r="T8" s="19">
        <f>$F$8*$H$8*$I$8*(1-$J$8)*Rampa!K9</f>
        <v>1331.5199999999998</v>
      </c>
      <c r="U8" s="19">
        <f>$F$8*$H$8*$I$8*(1-$J$8)*Rampa!L9</f>
        <v>1331.5199999999998</v>
      </c>
      <c r="V8" s="19">
        <f>$F$8*$H$8*$I$8*(1-$J$8)*Rampa!M9</f>
        <v>1331.5199999999998</v>
      </c>
      <c r="W8" s="19">
        <f>$F$8*$H$8*$I$8*(1-$J$8)*Rampa!N9</f>
        <v>1331.5199999999998</v>
      </c>
      <c r="X8" s="19">
        <f>$F$8*$H$8*$I$8*(1-$J$8)*Rampa!O9</f>
        <v>1331.5199999999998</v>
      </c>
      <c r="Y8" s="19">
        <f>$F$8*$H$8*$I$8*(1-$J$8)*Rampa!P9</f>
        <v>1331.5199999999998</v>
      </c>
      <c r="Z8" s="19">
        <f>$F$8*$H$8*$I$8*(1-$J$8)*Rampa!Q9</f>
        <v>1331.5199999999998</v>
      </c>
      <c r="AA8" s="19">
        <f>$F$8*$H$8*$I$8*(1-$J$8)*Rampa!R9</f>
        <v>1331.5199999999998</v>
      </c>
      <c r="AB8" s="19">
        <f>$F$8*$H$8*$I$8*(1-$J$8)*Rampa!S9</f>
        <v>1331.5199999999998</v>
      </c>
      <c r="AC8" s="19">
        <f>$F$8*$H$8*$I$8*(1-$J$8)*Rampa!T9</f>
        <v>1331.5199999999998</v>
      </c>
      <c r="AD8" s="19">
        <f>$F$8*$H$8*$I$8*(1-$J$8)*Rampa!U9</f>
        <v>1331.5199999999998</v>
      </c>
      <c r="AE8" s="19">
        <f>$F$8*$H$8*$I$8*(1-$J$8)*Rampa!V9</f>
        <v>1331.5199999999998</v>
      </c>
      <c r="AF8" s="19">
        <f>$F$8*$H$8*$I$8*(1-$J$8)*Rampa!W9</f>
        <v>1331.5199999999998</v>
      </c>
      <c r="AG8" s="19">
        <f>$F$8*$H$8*$I$8*(1-$J$8)*Rampa!X9</f>
        <v>1331.5199999999998</v>
      </c>
      <c r="AH8" s="19">
        <f>$F$8*$H$8*$I$8*(1-$J$8)*Rampa!Y9</f>
        <v>1331.5199999999998</v>
      </c>
      <c r="AI8" s="19">
        <f>$F$8*$H$8*$I$8*(1-$J$8)*Rampa!Z9</f>
        <v>1331.5199999999998</v>
      </c>
      <c r="AJ8" s="19">
        <f>$F$8*$H$8*$I$8*(1-$J$8)*Rampa!AA9</f>
        <v>1331.5199999999998</v>
      </c>
      <c r="AK8" s="19">
        <f>$F$8*$H$8*$I$8*(1-$J$8)*Rampa!AB9</f>
        <v>1331.5199999999998</v>
      </c>
      <c r="AL8" s="19">
        <f>$F$8*$H$8*$I$8*(1-$J$8)*Rampa!AC9</f>
        <v>1331.5199999999998</v>
      </c>
      <c r="AM8" s="19">
        <f>$F$8*$H$8*$I$8*(1-$J$8)*Rampa!AD9</f>
        <v>1331.5199999999998</v>
      </c>
      <c r="AN8" s="19">
        <f>$F$8*$H$8*$I$8*(1-$J$8)*Rampa!AE9</f>
        <v>1331.5199999999998</v>
      </c>
      <c r="AO8" s="19">
        <f>$F$8*$H$8*$I$8*(1-$J$8)*Rampa!AF9</f>
        <v>1331.5199999999998</v>
      </c>
      <c r="AP8" s="19">
        <f>$F$8*$H$8*$I$8*(1-$J$8)*Rampa!AG9</f>
        <v>1331.5199999999998</v>
      </c>
      <c r="AQ8" s="19">
        <f>$F$8*$H$8*$I$8*(1-$J$8)*Rampa!AH9</f>
        <v>1331.5199999999998</v>
      </c>
      <c r="AR8" s="19">
        <f>$F$8*$H$8*$I$8*(1-$J$8)*Rampa!AI9</f>
        <v>1331.5199999999998</v>
      </c>
      <c r="AS8" s="19">
        <f>$F$8*$H$8*$I$8*(1-$J$8)*Rampa!AJ9</f>
        <v>1331.5199999999998</v>
      </c>
      <c r="AT8" s="20">
        <f>$F$8*$H$8*$I$8*(1-$J$8)*Rampa!AK9</f>
        <v>1331.5199999999998</v>
      </c>
    </row>
    <row r="9" spans="1:46" ht="12" customHeight="1">
      <c r="A9" s="1"/>
      <c r="B9" s="59"/>
      <c r="C9" s="63"/>
      <c r="D9" s="14" t="s">
        <v>63</v>
      </c>
      <c r="E9" s="15" t="s">
        <v>64</v>
      </c>
      <c r="F9" s="16">
        <v>360</v>
      </c>
      <c r="G9" s="15" t="s">
        <v>65</v>
      </c>
      <c r="H9" s="17">
        <v>1.5E-3</v>
      </c>
      <c r="I9" s="15">
        <f t="shared" si="0"/>
        <v>730</v>
      </c>
      <c r="J9" s="18">
        <v>0.05</v>
      </c>
      <c r="K9" s="19">
        <f>$F$9*$H$9*$I$9*(1-$J$9)*Rampa!B9</f>
        <v>0</v>
      </c>
      <c r="L9" s="19">
        <f>$F$9*$H$9*$I$9*(1-$J$9)*Rampa!C9</f>
        <v>374.49</v>
      </c>
      <c r="M9" s="19">
        <f>$F$9*$H$9*$I$9*(1-$J$9)*Rampa!D9</f>
        <v>374.49</v>
      </c>
      <c r="N9" s="19">
        <f>$F$9*$H$9*$I$9*(1-$J$9)*Rampa!E9</f>
        <v>374.49</v>
      </c>
      <c r="O9" s="19">
        <f>$F$9*$H$9*$I$9*(1-$J$9)*Rampa!F9</f>
        <v>374.49</v>
      </c>
      <c r="P9" s="19">
        <f>$F$9*$H$9*$I$9*(1-$J$9)*Rampa!G9</f>
        <v>374.49</v>
      </c>
      <c r="Q9" s="19">
        <f>$F$9*$H$9*$I$9*(1-$J$9)*Rampa!H9</f>
        <v>374.49</v>
      </c>
      <c r="R9" s="19">
        <f>$F$9*$H$9*$I$9*(1-$J$9)*Rampa!I9</f>
        <v>374.49</v>
      </c>
      <c r="S9" s="19">
        <f>$F$9*$H$9*$I$9*(1-$J$9)*Rampa!J9</f>
        <v>374.49</v>
      </c>
      <c r="T9" s="19">
        <f>$F$9*$H$9*$I$9*(1-$J$9)*Rampa!K9</f>
        <v>374.49</v>
      </c>
      <c r="U9" s="19">
        <f>$F$9*$H$9*$I$9*(1-$J$9)*Rampa!L9</f>
        <v>374.49</v>
      </c>
      <c r="V9" s="19">
        <f>$F$9*$H$9*$I$9*(1-$J$9)*Rampa!M9</f>
        <v>374.49</v>
      </c>
      <c r="W9" s="19">
        <f>$F$9*$H$9*$I$9*(1-$J$9)*Rampa!N9</f>
        <v>374.49</v>
      </c>
      <c r="X9" s="19">
        <f>$F$9*$H$9*$I$9*(1-$J$9)*Rampa!O9</f>
        <v>374.49</v>
      </c>
      <c r="Y9" s="19">
        <f>$F$9*$H$9*$I$9*(1-$J$9)*Rampa!P9</f>
        <v>374.49</v>
      </c>
      <c r="Z9" s="19">
        <f>$F$9*$H$9*$I$9*(1-$J$9)*Rampa!Q9</f>
        <v>374.49</v>
      </c>
      <c r="AA9" s="19">
        <f>$F$9*$H$9*$I$9*(1-$J$9)*Rampa!R9</f>
        <v>374.49</v>
      </c>
      <c r="AB9" s="19">
        <f>$F$9*$H$9*$I$9*(1-$J$9)*Rampa!S9</f>
        <v>374.49</v>
      </c>
      <c r="AC9" s="19">
        <f>$F$9*$H$9*$I$9*(1-$J$9)*Rampa!T9</f>
        <v>374.49</v>
      </c>
      <c r="AD9" s="19">
        <f>$F$9*$H$9*$I$9*(1-$J$9)*Rampa!U9</f>
        <v>374.49</v>
      </c>
      <c r="AE9" s="19">
        <f>$F$9*$H$9*$I$9*(1-$J$9)*Rampa!V9</f>
        <v>374.49</v>
      </c>
      <c r="AF9" s="19">
        <f>$F$9*$H$9*$I$9*(1-$J$9)*Rampa!W9</f>
        <v>374.49</v>
      </c>
      <c r="AG9" s="19">
        <f>$F$9*$H$9*$I$9*(1-$J$9)*Rampa!X9</f>
        <v>374.49</v>
      </c>
      <c r="AH9" s="19">
        <f>$F$9*$H$9*$I$9*(1-$J$9)*Rampa!Y9</f>
        <v>374.49</v>
      </c>
      <c r="AI9" s="19">
        <f>$F$9*$H$9*$I$9*(1-$J$9)*Rampa!Z9</f>
        <v>374.49</v>
      </c>
      <c r="AJ9" s="19">
        <f>$F$9*$H$9*$I$9*(1-$J$9)*Rampa!AA9</f>
        <v>374.49</v>
      </c>
      <c r="AK9" s="19">
        <f>$F$9*$H$9*$I$9*(1-$J$9)*Rampa!AB9</f>
        <v>374.49</v>
      </c>
      <c r="AL9" s="19">
        <f>$F$9*$H$9*$I$9*(1-$J$9)*Rampa!AC9</f>
        <v>374.49</v>
      </c>
      <c r="AM9" s="19">
        <f>$F$9*$H$9*$I$9*(1-$J$9)*Rampa!AD9</f>
        <v>374.49</v>
      </c>
      <c r="AN9" s="19">
        <f>$F$9*$H$9*$I$9*(1-$J$9)*Rampa!AE9</f>
        <v>374.49</v>
      </c>
      <c r="AO9" s="19">
        <f>$F$9*$H$9*$I$9*(1-$J$9)*Rampa!AF9</f>
        <v>374.49</v>
      </c>
      <c r="AP9" s="19">
        <f>$F$9*$H$9*$I$9*(1-$J$9)*Rampa!AG9</f>
        <v>374.49</v>
      </c>
      <c r="AQ9" s="19">
        <f>$F$9*$H$9*$I$9*(1-$J$9)*Rampa!AH9</f>
        <v>374.49</v>
      </c>
      <c r="AR9" s="19">
        <f>$F$9*$H$9*$I$9*(1-$J$9)*Rampa!AI9</f>
        <v>374.49</v>
      </c>
      <c r="AS9" s="19">
        <f>$F$9*$H$9*$I$9*(1-$J$9)*Rampa!AJ9</f>
        <v>374.49</v>
      </c>
      <c r="AT9" s="20">
        <f>$F$9*$H$9*$I$9*(1-$J$9)*Rampa!AK9</f>
        <v>374.49</v>
      </c>
    </row>
    <row r="10" spans="1:46" ht="12" customHeight="1">
      <c r="A10" s="1"/>
      <c r="B10" s="59"/>
      <c r="C10" s="63"/>
      <c r="D10" s="14" t="s">
        <v>46</v>
      </c>
      <c r="E10" s="15" t="s">
        <v>47</v>
      </c>
      <c r="F10" s="31">
        <v>900</v>
      </c>
      <c r="G10" s="15" t="s">
        <v>48</v>
      </c>
      <c r="H10" s="17">
        <v>2.5499999999999998E-2</v>
      </c>
      <c r="I10" s="15">
        <v>1</v>
      </c>
      <c r="J10" s="18">
        <v>0.05</v>
      </c>
      <c r="K10" s="19">
        <f>$F$10*$H$10*$I$10*(1-$J$10)*Rampa!B9</f>
        <v>0</v>
      </c>
      <c r="L10" s="19">
        <f>$F$10*$H$10*$I$10*(1-$J$10)*Rampa!C9</f>
        <v>21.802499999999998</v>
      </c>
      <c r="M10" s="19">
        <f>$F$10*$H$10*$I$10*(1-$J$10)*Rampa!D9</f>
        <v>21.802499999999998</v>
      </c>
      <c r="N10" s="19">
        <f>$F$10*$H$10*$I$10*(1-$J$10)*Rampa!E9</f>
        <v>21.802499999999998</v>
      </c>
      <c r="O10" s="19">
        <f>$F$10*$H$10*$I$10*(1-$J$10)*Rampa!F9</f>
        <v>21.802499999999998</v>
      </c>
      <c r="P10" s="19">
        <f>$F$10*$H$10*$I$10*(1-$J$10)*Rampa!G9</f>
        <v>21.802499999999998</v>
      </c>
      <c r="Q10" s="19">
        <f>$F$10*$H$10*$I$10*(1-$J$10)*Rampa!H9</f>
        <v>21.802499999999998</v>
      </c>
      <c r="R10" s="19">
        <f>$F$10*$H$10*$I$10*(1-$J$10)*Rampa!I9</f>
        <v>21.802499999999998</v>
      </c>
      <c r="S10" s="19">
        <f>$F$10*$H$10*$I$10*(1-$J$10)*Rampa!J9</f>
        <v>21.802499999999998</v>
      </c>
      <c r="T10" s="19">
        <f>$F$10*$H$10*$I$10*(1-$J$10)*Rampa!K9</f>
        <v>21.802499999999998</v>
      </c>
      <c r="U10" s="19">
        <f>$F$10*$H$10*$I$10*(1-$J$10)*Rampa!L9</f>
        <v>21.802499999999998</v>
      </c>
      <c r="V10" s="19">
        <f>$F$10*$H$10*$I$10*(1-$J$10)*Rampa!M9</f>
        <v>21.802499999999998</v>
      </c>
      <c r="W10" s="19">
        <f>$F$10*$H$10*$I$10*(1-$J$10)*Rampa!N9</f>
        <v>21.802499999999998</v>
      </c>
      <c r="X10" s="19">
        <f>$F$10*$H$10*$I$10*(1-$J$10)*Rampa!O9</f>
        <v>21.802499999999998</v>
      </c>
      <c r="Y10" s="19">
        <f>$F$10*$H$10*$I$10*(1-$J$10)*Rampa!P9</f>
        <v>21.802499999999998</v>
      </c>
      <c r="Z10" s="19">
        <f>$F$10*$H$10*$I$10*(1-$J$10)*Rampa!Q9</f>
        <v>21.802499999999998</v>
      </c>
      <c r="AA10" s="19">
        <f>$F$10*$H$10*$I$10*(1-$J$10)*Rampa!R9</f>
        <v>21.802499999999998</v>
      </c>
      <c r="AB10" s="19">
        <f>$F$10*$H$10*$I$10*(1-$J$10)*Rampa!S9</f>
        <v>21.802499999999998</v>
      </c>
      <c r="AC10" s="19">
        <f>$F$10*$H$10*$I$10*(1-$J$10)*Rampa!T9</f>
        <v>21.802499999999998</v>
      </c>
      <c r="AD10" s="19">
        <f>$F$10*$H$10*$I$10*(1-$J$10)*Rampa!U9</f>
        <v>21.802499999999998</v>
      </c>
      <c r="AE10" s="19">
        <f>$F$10*$H$10*$I$10*(1-$J$10)*Rampa!V9</f>
        <v>21.802499999999998</v>
      </c>
      <c r="AF10" s="19">
        <f>$F$10*$H$10*$I$10*(1-$J$10)*Rampa!W9</f>
        <v>21.802499999999998</v>
      </c>
      <c r="AG10" s="19">
        <f>$F$10*$H$10*$I$10*(1-$J$10)*Rampa!X9</f>
        <v>21.802499999999998</v>
      </c>
      <c r="AH10" s="19">
        <f>$F$10*$H$10*$I$10*(1-$J$10)*Rampa!Y9</f>
        <v>21.802499999999998</v>
      </c>
      <c r="AI10" s="19">
        <f>$F$10*$H$10*$I$10*(1-$J$10)*Rampa!Z9</f>
        <v>21.802499999999998</v>
      </c>
      <c r="AJ10" s="19">
        <f>$F$10*$H$10*$I$10*(1-$J$10)*Rampa!AA9</f>
        <v>21.802499999999998</v>
      </c>
      <c r="AK10" s="19">
        <f>$F$10*$H$10*$I$10*(1-$J$10)*Rampa!AB9</f>
        <v>21.802499999999998</v>
      </c>
      <c r="AL10" s="19">
        <f>$F$10*$H$10*$I$10*(1-$J$10)*Rampa!AC9</f>
        <v>21.802499999999998</v>
      </c>
      <c r="AM10" s="19">
        <f>$F$10*$H$10*$I$10*(1-$J$10)*Rampa!AD9</f>
        <v>21.802499999999998</v>
      </c>
      <c r="AN10" s="19">
        <f>$F$10*$H$10*$I$10*(1-$J$10)*Rampa!AE9</f>
        <v>21.802499999999998</v>
      </c>
      <c r="AO10" s="19">
        <f>$F$10*$H$10*$I$10*(1-$J$10)*Rampa!AF9</f>
        <v>21.802499999999998</v>
      </c>
      <c r="AP10" s="19">
        <f>$F$10*$H$10*$I$10*(1-$J$10)*Rampa!AG9</f>
        <v>21.802499999999998</v>
      </c>
      <c r="AQ10" s="19">
        <f>$F$10*$H$10*$I$10*(1-$J$10)*Rampa!AH9</f>
        <v>21.802499999999998</v>
      </c>
      <c r="AR10" s="19">
        <f>$F$10*$H$10*$I$10*(1-$J$10)*Rampa!AI9</f>
        <v>21.802499999999998</v>
      </c>
      <c r="AS10" s="19">
        <f>$F$10*$H$10*$I$10*(1-$J$10)*Rampa!AJ9</f>
        <v>21.802499999999998</v>
      </c>
      <c r="AT10" s="20">
        <f>$F$10*$H$10*$I$10*(1-$J$10)*Rampa!AK9</f>
        <v>21.802499999999998</v>
      </c>
    </row>
    <row r="11" spans="1:46" ht="12" customHeight="1">
      <c r="A11" s="1"/>
      <c r="B11" s="60"/>
      <c r="C11" s="64"/>
      <c r="D11" s="23" t="s">
        <v>49</v>
      </c>
      <c r="E11" s="24" t="s">
        <v>50</v>
      </c>
      <c r="F11" s="23">
        <v>9000</v>
      </c>
      <c r="G11" s="32" t="s">
        <v>51</v>
      </c>
      <c r="H11" s="25">
        <v>1.6999999999999999E-3</v>
      </c>
      <c r="I11" s="24">
        <v>1</v>
      </c>
      <c r="J11" s="26">
        <v>0.05</v>
      </c>
      <c r="K11" s="27">
        <f>$F$11*$H$11*$I$11*(1-$J$11)*Rampa!B9</f>
        <v>0</v>
      </c>
      <c r="L11" s="27">
        <f>$F$11*$H$11*$I$11*(1-$J$11)*Rampa!C9</f>
        <v>14.534999999999998</v>
      </c>
      <c r="M11" s="27">
        <f>$F$11*$H$11*$I$11*(1-$J$11)*Rampa!D9</f>
        <v>14.534999999999998</v>
      </c>
      <c r="N11" s="27">
        <f>$F$11*$H$11*$I$11*(1-$J$11)*Rampa!E9</f>
        <v>14.534999999999998</v>
      </c>
      <c r="O11" s="27">
        <f>$F$11*$H$11*$I$11*(1-$J$11)*Rampa!F9</f>
        <v>14.534999999999998</v>
      </c>
      <c r="P11" s="27">
        <f>$F$11*$H$11*$I$11*(1-$J$11)*Rampa!G9</f>
        <v>14.534999999999998</v>
      </c>
      <c r="Q11" s="27">
        <f>$F$11*$H$11*$I$11*(1-$J$11)*Rampa!H9</f>
        <v>14.534999999999998</v>
      </c>
      <c r="R11" s="27">
        <f>$F$11*$H$11*$I$11*(1-$J$11)*Rampa!I9</f>
        <v>14.534999999999998</v>
      </c>
      <c r="S11" s="27">
        <f>$F$11*$H$11*$I$11*(1-$J$11)*Rampa!J9</f>
        <v>14.534999999999998</v>
      </c>
      <c r="T11" s="27">
        <f>$F$11*$H$11*$I$11*(1-$J$11)*Rampa!K9</f>
        <v>14.534999999999998</v>
      </c>
      <c r="U11" s="27">
        <f>$F$11*$H$11*$I$11*(1-$J$11)*Rampa!L9</f>
        <v>14.534999999999998</v>
      </c>
      <c r="V11" s="27">
        <f>$F$11*$H$11*$I$11*(1-$J$11)*Rampa!M9</f>
        <v>14.534999999999998</v>
      </c>
      <c r="W11" s="27">
        <f>$F$11*$H$11*$I$11*(1-$J$11)*Rampa!N9</f>
        <v>14.534999999999998</v>
      </c>
      <c r="X11" s="27">
        <f>$F$11*$H$11*$I$11*(1-$J$11)*Rampa!O9</f>
        <v>14.534999999999998</v>
      </c>
      <c r="Y11" s="27">
        <f>$F$11*$H$11*$I$11*(1-$J$11)*Rampa!P9</f>
        <v>14.534999999999998</v>
      </c>
      <c r="Z11" s="27">
        <f>$F$11*$H$11*$I$11*(1-$J$11)*Rampa!Q9</f>
        <v>14.534999999999998</v>
      </c>
      <c r="AA11" s="27">
        <f>$F$11*$H$11*$I$11*(1-$J$11)*Rampa!R9</f>
        <v>14.534999999999998</v>
      </c>
      <c r="AB11" s="27">
        <f>$F$11*$H$11*$I$11*(1-$J$11)*Rampa!S9</f>
        <v>14.534999999999998</v>
      </c>
      <c r="AC11" s="27">
        <f>$F$11*$H$11*$I$11*(1-$J$11)*Rampa!T9</f>
        <v>14.534999999999998</v>
      </c>
      <c r="AD11" s="27">
        <f>$F$11*$H$11*$I$11*(1-$J$11)*Rampa!U9</f>
        <v>14.534999999999998</v>
      </c>
      <c r="AE11" s="27">
        <f>$F$11*$H$11*$I$11*(1-$J$11)*Rampa!V9</f>
        <v>14.534999999999998</v>
      </c>
      <c r="AF11" s="27">
        <f>$F$11*$H$11*$I$11*(1-$J$11)*Rampa!W9</f>
        <v>14.534999999999998</v>
      </c>
      <c r="AG11" s="27">
        <f>$F$11*$H$11*$I$11*(1-$J$11)*Rampa!X9</f>
        <v>14.534999999999998</v>
      </c>
      <c r="AH11" s="27">
        <f>$F$11*$H$11*$I$11*(1-$J$11)*Rampa!Y9</f>
        <v>14.534999999999998</v>
      </c>
      <c r="AI11" s="27">
        <f>$F$11*$H$11*$I$11*(1-$J$11)*Rampa!Z9</f>
        <v>14.534999999999998</v>
      </c>
      <c r="AJ11" s="27">
        <f>$F$11*$H$11*$I$11*(1-$J$11)*Rampa!AA9</f>
        <v>14.534999999999998</v>
      </c>
      <c r="AK11" s="27">
        <f>$F$11*$H$11*$I$11*(1-$J$11)*Rampa!AB9</f>
        <v>14.534999999999998</v>
      </c>
      <c r="AL11" s="27">
        <f>$F$11*$H$11*$I$11*(1-$J$11)*Rampa!AC9</f>
        <v>14.534999999999998</v>
      </c>
      <c r="AM11" s="27">
        <f>$F$11*$H$11*$I$11*(1-$J$11)*Rampa!AD9</f>
        <v>14.534999999999998</v>
      </c>
      <c r="AN11" s="27">
        <f>$F$11*$H$11*$I$11*(1-$J$11)*Rampa!AE9</f>
        <v>14.534999999999998</v>
      </c>
      <c r="AO11" s="27">
        <f>$F$11*$H$11*$I$11*(1-$J$11)*Rampa!AF9</f>
        <v>14.534999999999998</v>
      </c>
      <c r="AP11" s="27">
        <f>$F$11*$H$11*$I$11*(1-$J$11)*Rampa!AG9</f>
        <v>14.534999999999998</v>
      </c>
      <c r="AQ11" s="27">
        <f>$F$11*$H$11*$I$11*(1-$J$11)*Rampa!AH9</f>
        <v>14.534999999999998</v>
      </c>
      <c r="AR11" s="27">
        <f>$F$11*$H$11*$I$11*(1-$J$11)*Rampa!AI9</f>
        <v>14.534999999999998</v>
      </c>
      <c r="AS11" s="27">
        <f>$F$11*$H$11*$I$11*(1-$J$11)*Rampa!AJ9</f>
        <v>14.534999999999998</v>
      </c>
      <c r="AT11" s="28">
        <f>$F$11*$H$11*$I$11*(1-$J$11)*Rampa!AK9</f>
        <v>14.534999999999998</v>
      </c>
    </row>
    <row r="12" spans="1:46" ht="12" customHeight="1">
      <c r="A12" s="1"/>
      <c r="B12" s="1"/>
      <c r="C12" s="1"/>
      <c r="D12" s="2"/>
      <c r="E12" s="1"/>
      <c r="F12" s="2"/>
      <c r="G12" s="1"/>
      <c r="H12" s="1"/>
      <c r="I12" s="1"/>
      <c r="J12" s="1"/>
      <c r="K12" s="33">
        <f>SUM(K6:K11)</f>
        <v>0</v>
      </c>
      <c r="L12" s="34">
        <f>SUM(L6:L11)</f>
        <v>3580.1224999999986</v>
      </c>
      <c r="M12" s="34">
        <f>SUM(M6:M11)</f>
        <v>3580.1224999999986</v>
      </c>
      <c r="N12" s="34">
        <f>SUM(N6:N11)</f>
        <v>3580.1224999999986</v>
      </c>
      <c r="O12" s="34">
        <f>SUM(O6:O11)</f>
        <v>3580.1224999999986</v>
      </c>
      <c r="P12" s="34">
        <f>SUM(P6:P11)</f>
        <v>3580.1224999999986</v>
      </c>
      <c r="Q12" s="34">
        <f>SUM(Q6:Q11)</f>
        <v>3580.1224999999986</v>
      </c>
      <c r="R12" s="34">
        <f>SUM(R6:R11)</f>
        <v>3580.1224999999986</v>
      </c>
      <c r="S12" s="34">
        <f>SUM(S6:S11)</f>
        <v>3580.1224999999986</v>
      </c>
      <c r="T12" s="34">
        <f>SUM(T6:T11)</f>
        <v>3580.1224999999986</v>
      </c>
      <c r="U12" s="34">
        <f>SUM(U6:U11)</f>
        <v>3580.1224999999986</v>
      </c>
      <c r="V12" s="34">
        <f>SUM(V6:V11)</f>
        <v>3580.1224999999986</v>
      </c>
      <c r="W12" s="34">
        <f>SUM(W6:W11)</f>
        <v>3580.1224999999986</v>
      </c>
      <c r="X12" s="34">
        <f>SUM(X6:X11)</f>
        <v>3580.1224999999986</v>
      </c>
      <c r="Y12" s="34">
        <f>SUM(Y6:Y11)</f>
        <v>3580.1224999999986</v>
      </c>
      <c r="Z12" s="34">
        <f>SUM(Z6:Z11)</f>
        <v>3580.1224999999986</v>
      </c>
      <c r="AA12" s="34">
        <f>SUM(AA6:AA11)</f>
        <v>3580.1224999999986</v>
      </c>
      <c r="AB12" s="34">
        <f>SUM(AB6:AB11)</f>
        <v>3580.1224999999986</v>
      </c>
      <c r="AC12" s="34">
        <f>SUM(AC6:AC11)</f>
        <v>3580.1224999999986</v>
      </c>
      <c r="AD12" s="34">
        <f>SUM(AD6:AD11)</f>
        <v>3580.1224999999986</v>
      </c>
      <c r="AE12" s="34">
        <f>SUM(AE6:AE11)</f>
        <v>3580.1224999999986</v>
      </c>
      <c r="AF12" s="34">
        <f>SUM(AF6:AF11)</f>
        <v>3580.1224999999986</v>
      </c>
      <c r="AG12" s="34">
        <f>SUM(AG6:AG11)</f>
        <v>3580.1224999999986</v>
      </c>
      <c r="AH12" s="34">
        <f>SUM(AH6:AH11)</f>
        <v>3580.1224999999986</v>
      </c>
      <c r="AI12" s="34">
        <f>SUM(AI6:AI11)</f>
        <v>3580.1224999999986</v>
      </c>
      <c r="AJ12" s="34">
        <f>SUM(AJ6:AJ11)</f>
        <v>3580.1224999999986</v>
      </c>
      <c r="AK12" s="34">
        <f>SUM(AK6:AK11)</f>
        <v>3580.1224999999986</v>
      </c>
      <c r="AL12" s="34">
        <f>SUM(AL6:AL11)</f>
        <v>3580.1224999999986</v>
      </c>
      <c r="AM12" s="34">
        <f>SUM(AM6:AM11)</f>
        <v>3580.1224999999986</v>
      </c>
      <c r="AN12" s="34">
        <f>SUM(AN6:AN11)</f>
        <v>3580.1224999999986</v>
      </c>
      <c r="AO12" s="34">
        <f>SUM(AO6:AO11)</f>
        <v>3580.1224999999986</v>
      </c>
      <c r="AP12" s="34">
        <f>SUM(AP6:AP11)</f>
        <v>3580.1224999999986</v>
      </c>
      <c r="AQ12" s="34">
        <f>SUM(AQ6:AQ11)</f>
        <v>3580.1224999999986</v>
      </c>
      <c r="AR12" s="34">
        <f>SUM(AR6:AR11)</f>
        <v>3580.1224999999986</v>
      </c>
      <c r="AS12" s="34">
        <f>SUM(AS6:AS11)</f>
        <v>3580.1224999999986</v>
      </c>
      <c r="AT12" s="35">
        <f>SUM(AT6:AT11)</f>
        <v>3580.1224999999986</v>
      </c>
    </row>
    <row r="13" spans="1:46" ht="12" customHeight="1">
      <c r="A13" s="1"/>
      <c r="B13" s="1"/>
      <c r="C13" s="1"/>
      <c r="D13" s="2"/>
      <c r="E13" s="1"/>
      <c r="F13" s="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36" t="s">
        <v>66</v>
      </c>
      <c r="V13" s="37">
        <f>SUM(K12:V12)</f>
        <v>39381.347499999982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36" t="s">
        <v>67</v>
      </c>
      <c r="AH13" s="37">
        <f>SUM(W12:AH12)</f>
        <v>42961.469999999979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36" t="s">
        <v>68</v>
      </c>
      <c r="AT13" s="37">
        <f>SUM(AI12:AT12)</f>
        <v>42961.469999999979</v>
      </c>
    </row>
    <row r="14" spans="1:46" ht="12" customHeight="1">
      <c r="A14" s="1"/>
      <c r="B14" s="1"/>
      <c r="C14" s="1"/>
      <c r="D14" s="2"/>
      <c r="E14" s="1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12" customHeight="1">
      <c r="A15" s="1"/>
      <c r="B15" s="1"/>
      <c r="C15" s="1"/>
      <c r="D15" s="2"/>
      <c r="E15" s="1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12" customHeight="1">
      <c r="A16" s="1"/>
      <c r="B16" s="1"/>
      <c r="C16" s="1"/>
      <c r="D16" s="2"/>
      <c r="E16" s="1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12" customHeight="1">
      <c r="A17" s="1"/>
      <c r="B17" s="1"/>
      <c r="C17" s="1"/>
      <c r="D17" s="2"/>
      <c r="E17" s="1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2" customHeight="1">
      <c r="A18" s="1"/>
      <c r="B18" s="1"/>
      <c r="C18" s="1"/>
      <c r="D18" s="2"/>
      <c r="E18" s="1"/>
      <c r="F18" s="2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2" customHeight="1">
      <c r="A19" s="1"/>
      <c r="B19" s="1"/>
      <c r="C19" s="1"/>
      <c r="D19" s="2"/>
      <c r="E19" s="1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ht="12" customHeight="1">
      <c r="A20" s="1"/>
      <c r="B20" s="1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ht="12" customHeight="1">
      <c r="A21" s="1"/>
      <c r="B21" s="1"/>
      <c r="C21" s="1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ht="12" customHeight="1">
      <c r="A22" s="1"/>
      <c r="B22" s="1"/>
      <c r="C22" s="1"/>
      <c r="D22" s="2"/>
      <c r="E22" s="1"/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ht="12" customHeight="1">
      <c r="A23" s="1"/>
      <c r="B23" s="1"/>
      <c r="C23" s="1"/>
      <c r="D23" s="2"/>
      <c r="E23" s="1"/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ht="12" customHeight="1">
      <c r="A24" s="1"/>
      <c r="B24" s="1"/>
      <c r="C24" s="1"/>
      <c r="D24" s="2"/>
      <c r="E24" s="1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ht="12" customHeight="1">
      <c r="A25" s="1"/>
      <c r="B25" s="1"/>
      <c r="C25" s="1"/>
      <c r="D25" s="2"/>
      <c r="E25" s="1"/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ht="12" customHeight="1">
      <c r="A26" s="1"/>
      <c r="B26" s="1"/>
      <c r="C26" s="1"/>
      <c r="D26" s="2"/>
      <c r="E26" s="1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ht="12" customHeight="1">
      <c r="A27" s="1"/>
      <c r="B27" s="1"/>
      <c r="C27" s="1"/>
      <c r="D27" s="2"/>
      <c r="E27" s="1"/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ht="12" customHeight="1">
      <c r="A28" s="1"/>
      <c r="B28" s="1"/>
      <c r="C28" s="1"/>
      <c r="D28" s="2"/>
      <c r="E28" s="1"/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ht="12" customHeight="1">
      <c r="A29" s="1"/>
      <c r="B29" s="1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ht="12" customHeight="1">
      <c r="A30" s="1"/>
      <c r="B30" s="1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ht="12" customHeight="1">
      <c r="A31" s="1"/>
      <c r="B31" s="1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ht="12" customHeight="1">
      <c r="A32" s="1"/>
      <c r="B32" s="1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ht="12" customHeight="1">
      <c r="A33" s="1"/>
      <c r="B33" s="1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ht="12" customHeight="1">
      <c r="A34" s="1"/>
      <c r="B34" s="1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ht="12" customHeight="1">
      <c r="A35" s="1"/>
      <c r="B35" s="1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ht="12" customHeight="1">
      <c r="A36" s="1"/>
      <c r="B36" s="1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ht="12" customHeight="1">
      <c r="A37" s="1"/>
      <c r="B37" s="1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ht="12" customHeight="1">
      <c r="A38" s="1"/>
      <c r="B38" s="1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ht="12" customHeight="1">
      <c r="A39" s="1"/>
      <c r="B39" s="1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ht="12" customHeight="1">
      <c r="A40" s="1"/>
      <c r="B40" s="1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ht="12" customHeight="1">
      <c r="A41" s="1"/>
      <c r="B41" s="1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ht="12" customHeight="1">
      <c r="A42" s="1"/>
      <c r="B42" s="1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ht="12" customHeight="1">
      <c r="A43" s="1"/>
      <c r="B43" s="1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ht="12" customHeight="1">
      <c r="A44" s="1"/>
      <c r="B44" s="1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ht="12" customHeight="1">
      <c r="A45" s="1"/>
      <c r="B45" s="1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ht="12" customHeight="1">
      <c r="A46" s="1"/>
      <c r="B46" s="1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ht="12" customHeight="1">
      <c r="A47" s="1"/>
      <c r="B47" s="1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ht="12" customHeight="1">
      <c r="A48" s="1"/>
      <c r="B48" s="1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ht="12" customHeight="1">
      <c r="A49" s="1"/>
      <c r="B49" s="1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ht="12" customHeight="1">
      <c r="A50" s="1"/>
      <c r="B50" s="1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ht="12" customHeight="1">
      <c r="A51" s="1"/>
      <c r="B51" s="1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ht="12" customHeight="1">
      <c r="A52" s="1"/>
      <c r="B52" s="1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ht="12" customHeight="1">
      <c r="A53" s="1"/>
      <c r="B53" s="1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ht="12" customHeight="1">
      <c r="A54" s="1"/>
      <c r="B54" s="1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ht="12" customHeight="1">
      <c r="A55" s="1"/>
      <c r="B55" s="1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ht="12" customHeight="1">
      <c r="A56" s="1"/>
      <c r="B56" s="1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ht="12" customHeight="1">
      <c r="A57" s="1"/>
      <c r="B57" s="1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ht="12" customHeight="1">
      <c r="A58" s="1"/>
      <c r="B58" s="1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ht="12" customHeight="1">
      <c r="A59" s="1"/>
      <c r="B59" s="1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ht="12" customHeight="1">
      <c r="A60" s="1"/>
      <c r="B60" s="1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ht="12" customHeight="1">
      <c r="A61" s="1"/>
      <c r="B61" s="1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ht="12" customHeight="1">
      <c r="A62" s="1"/>
      <c r="B62" s="1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ht="12" customHeight="1">
      <c r="A63" s="1"/>
      <c r="B63" s="1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ht="12" customHeight="1">
      <c r="A64" s="1"/>
      <c r="B64" s="1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ht="12" customHeight="1">
      <c r="A65" s="1"/>
      <c r="B65" s="1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ht="12" customHeight="1">
      <c r="A66" s="1"/>
      <c r="B66" s="1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ht="12" customHeight="1">
      <c r="A67" s="1"/>
      <c r="B67" s="1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ht="12" customHeight="1">
      <c r="A68" s="1"/>
      <c r="B68" s="1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ht="12" customHeight="1">
      <c r="A69" s="1"/>
      <c r="B69" s="1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ht="12" customHeight="1">
      <c r="A70" s="1"/>
      <c r="B70" s="1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ht="12" customHeight="1">
      <c r="A71" s="1"/>
      <c r="B71" s="1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ht="12" customHeight="1">
      <c r="A72" s="1"/>
      <c r="B72" s="1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ht="12" customHeight="1">
      <c r="A73" s="1"/>
      <c r="B73" s="1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ht="12" customHeight="1">
      <c r="A74" s="1"/>
      <c r="B74" s="1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ht="12" customHeight="1">
      <c r="A75" s="1"/>
      <c r="B75" s="1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ht="12" customHeight="1">
      <c r="A76" s="1"/>
      <c r="B76" s="1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ht="12" customHeight="1">
      <c r="A77" s="1"/>
      <c r="B77" s="1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ht="12" customHeight="1">
      <c r="A78" s="1"/>
      <c r="B78" s="1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ht="12" customHeight="1">
      <c r="A79" s="1"/>
      <c r="B79" s="1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ht="12" customHeight="1">
      <c r="A80" s="1"/>
      <c r="B80" s="1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ht="12" customHeight="1">
      <c r="A81" s="1"/>
      <c r="B81" s="1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ht="12" customHeight="1">
      <c r="A82" s="1"/>
      <c r="B82" s="1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ht="12" customHeight="1">
      <c r="A83" s="1"/>
      <c r="B83" s="1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ht="12" customHeight="1">
      <c r="A84" s="1"/>
      <c r="B84" s="1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ht="12" customHeight="1">
      <c r="A85" s="1"/>
      <c r="B85" s="1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ht="12" customHeight="1">
      <c r="A86" s="1"/>
      <c r="B86" s="1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ht="12" customHeight="1">
      <c r="A87" s="1"/>
      <c r="B87" s="1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ht="12" customHeight="1">
      <c r="A88" s="1"/>
      <c r="B88" s="1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ht="12" customHeight="1">
      <c r="A89" s="1"/>
      <c r="B89" s="1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ht="12" customHeight="1">
      <c r="A90" s="1"/>
      <c r="B90" s="1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ht="12" customHeight="1">
      <c r="A91" s="1"/>
      <c r="B91" s="1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ht="12" customHeight="1">
      <c r="A92" s="1"/>
      <c r="B92" s="1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ht="12" customHeight="1">
      <c r="A93" s="1"/>
      <c r="B93" s="1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ht="12" customHeight="1">
      <c r="A94" s="1"/>
      <c r="B94" s="1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ht="12" customHeight="1">
      <c r="A95" s="1"/>
      <c r="B95" s="1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ht="12" customHeight="1">
      <c r="A96" s="1"/>
      <c r="B96" s="1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ht="12" customHeight="1">
      <c r="A97" s="1"/>
      <c r="B97" s="1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ht="12" customHeight="1">
      <c r="A98" s="1"/>
      <c r="B98" s="1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ht="12" customHeight="1">
      <c r="A99" s="1"/>
      <c r="B99" s="1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ht="12" customHeight="1">
      <c r="A100" s="1"/>
      <c r="B100" s="1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ht="12" customHeight="1">
      <c r="A101" s="1"/>
      <c r="B101" s="1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ht="12" customHeight="1">
      <c r="A102" s="1"/>
      <c r="B102" s="1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ht="12" customHeight="1">
      <c r="A103" s="1"/>
      <c r="B103" s="1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ht="12" customHeight="1">
      <c r="A104" s="1"/>
      <c r="B104" s="1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ht="12" customHeight="1">
      <c r="A105" s="1"/>
      <c r="B105" s="1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ht="12" customHeight="1">
      <c r="A106" s="1"/>
      <c r="B106" s="1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ht="12" customHeight="1">
      <c r="A107" s="1"/>
      <c r="B107" s="1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ht="12" customHeight="1">
      <c r="A108" s="1"/>
      <c r="B108" s="1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ht="12" customHeight="1">
      <c r="A109" s="1"/>
      <c r="B109" s="1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ht="12" customHeight="1">
      <c r="A110" s="1"/>
      <c r="B110" s="1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ht="12" customHeight="1">
      <c r="A111" s="1"/>
      <c r="B111" s="1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ht="12" customHeight="1">
      <c r="A112" s="1"/>
      <c r="B112" s="1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ht="12" customHeight="1">
      <c r="A113" s="1"/>
      <c r="B113" s="1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ht="12" customHeight="1">
      <c r="A114" s="1"/>
      <c r="B114" s="1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ht="12" customHeight="1">
      <c r="A115" s="1"/>
      <c r="B115" s="1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ht="12" customHeight="1">
      <c r="A116" s="1"/>
      <c r="B116" s="1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ht="12" customHeight="1">
      <c r="A117" s="1"/>
      <c r="B117" s="1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ht="12" customHeight="1">
      <c r="A118" s="1"/>
      <c r="B118" s="1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ht="12" customHeight="1">
      <c r="A119" s="1"/>
      <c r="B119" s="1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ht="12" customHeight="1">
      <c r="A120" s="1"/>
      <c r="B120" s="1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ht="12" customHeight="1">
      <c r="A121" s="1"/>
      <c r="B121" s="1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ht="12" customHeight="1">
      <c r="A122" s="1"/>
      <c r="B122" s="1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ht="12" customHeight="1">
      <c r="A123" s="1"/>
      <c r="B123" s="1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ht="12" customHeight="1">
      <c r="A124" s="1"/>
      <c r="B124" s="1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ht="12" customHeight="1">
      <c r="A125" s="1"/>
      <c r="B125" s="1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ht="12" customHeight="1">
      <c r="A126" s="1"/>
      <c r="B126" s="1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ht="12" customHeight="1">
      <c r="A127" s="1"/>
      <c r="B127" s="1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ht="12" customHeight="1">
      <c r="A128" s="1"/>
      <c r="B128" s="1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ht="12" customHeight="1">
      <c r="A129" s="1"/>
      <c r="B129" s="1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ht="12" customHeight="1">
      <c r="A130" s="1"/>
      <c r="B130" s="1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ht="12" customHeight="1">
      <c r="A131" s="1"/>
      <c r="B131" s="1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ht="12" customHeight="1">
      <c r="A132" s="1"/>
      <c r="B132" s="1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ht="12" customHeight="1">
      <c r="A133" s="1"/>
      <c r="B133" s="1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ht="12" customHeight="1">
      <c r="A134" s="1"/>
      <c r="B134" s="1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ht="12" customHeight="1">
      <c r="A135" s="1"/>
      <c r="B135" s="1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ht="12" customHeight="1">
      <c r="A136" s="1"/>
      <c r="B136" s="1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ht="12" customHeight="1">
      <c r="A137" s="1"/>
      <c r="B137" s="1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ht="12" customHeight="1">
      <c r="A138" s="1"/>
      <c r="B138" s="1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ht="12" customHeight="1">
      <c r="A139" s="1"/>
      <c r="B139" s="1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ht="12" customHeight="1">
      <c r="A140" s="1"/>
      <c r="B140" s="1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ht="12" customHeight="1">
      <c r="A141" s="1"/>
      <c r="B141" s="1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ht="12" customHeight="1">
      <c r="A142" s="1"/>
      <c r="B142" s="1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ht="12" customHeight="1">
      <c r="A143" s="1"/>
      <c r="B143" s="1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ht="12" customHeight="1">
      <c r="A144" s="1"/>
      <c r="B144" s="1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ht="12" customHeight="1">
      <c r="A145" s="1"/>
      <c r="B145" s="1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ht="12" customHeight="1">
      <c r="A146" s="1"/>
      <c r="B146" s="1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ht="12" customHeight="1">
      <c r="A147" s="1"/>
      <c r="B147" s="1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ht="12" customHeight="1">
      <c r="A148" s="1"/>
      <c r="B148" s="1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ht="12" customHeight="1">
      <c r="A149" s="1"/>
      <c r="B149" s="1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ht="12" customHeight="1">
      <c r="A150" s="1"/>
      <c r="B150" s="1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ht="12" customHeight="1">
      <c r="A151" s="1"/>
      <c r="B151" s="1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ht="12" customHeight="1">
      <c r="A152" s="1"/>
      <c r="B152" s="1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ht="12" customHeight="1">
      <c r="A153" s="1"/>
      <c r="B153" s="1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ht="12" customHeight="1">
      <c r="A154" s="1"/>
      <c r="B154" s="1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ht="12" customHeight="1">
      <c r="A155" s="1"/>
      <c r="B155" s="1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ht="12" customHeight="1">
      <c r="A156" s="1"/>
      <c r="B156" s="1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ht="12" customHeight="1">
      <c r="A157" s="1"/>
      <c r="B157" s="1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ht="12" customHeight="1">
      <c r="A158" s="1"/>
      <c r="B158" s="1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ht="12" customHeight="1">
      <c r="A159" s="1"/>
      <c r="B159" s="1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ht="12" customHeight="1">
      <c r="A160" s="1"/>
      <c r="B160" s="1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ht="12" customHeight="1">
      <c r="A161" s="1"/>
      <c r="B161" s="1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ht="12" customHeight="1">
      <c r="A162" s="1"/>
      <c r="B162" s="1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ht="12" customHeight="1">
      <c r="A163" s="1"/>
      <c r="B163" s="1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ht="12" customHeight="1">
      <c r="A164" s="1"/>
      <c r="B164" s="1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ht="12" customHeight="1">
      <c r="A165" s="1"/>
      <c r="B165" s="1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ht="12" customHeight="1">
      <c r="A166" s="1"/>
      <c r="B166" s="1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ht="12" customHeight="1">
      <c r="A167" s="1"/>
      <c r="B167" s="1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ht="12" customHeight="1">
      <c r="A168" s="1"/>
      <c r="B168" s="1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ht="12" customHeight="1">
      <c r="A169" s="1"/>
      <c r="B169" s="1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ht="12" customHeight="1">
      <c r="A170" s="1"/>
      <c r="B170" s="1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ht="12" customHeight="1">
      <c r="A171" s="1"/>
      <c r="B171" s="1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ht="12" customHeight="1">
      <c r="A172" s="1"/>
      <c r="B172" s="1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ht="12" customHeight="1">
      <c r="A173" s="1"/>
      <c r="B173" s="1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ht="12" customHeight="1">
      <c r="A174" s="1"/>
      <c r="B174" s="1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ht="12" customHeight="1">
      <c r="A175" s="1"/>
      <c r="B175" s="1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ht="12" customHeight="1">
      <c r="A176" s="1"/>
      <c r="B176" s="1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ht="12" customHeight="1">
      <c r="A177" s="1"/>
      <c r="B177" s="1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ht="12" customHeight="1">
      <c r="A178" s="1"/>
      <c r="B178" s="1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ht="12" customHeight="1">
      <c r="A179" s="1"/>
      <c r="B179" s="1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ht="12" customHeight="1">
      <c r="A180" s="1"/>
      <c r="B180" s="1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ht="12" customHeight="1">
      <c r="A181" s="1"/>
      <c r="B181" s="1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ht="12" customHeight="1">
      <c r="A182" s="1"/>
      <c r="B182" s="1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ht="12" customHeight="1">
      <c r="A183" s="1"/>
      <c r="B183" s="1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ht="12" customHeight="1">
      <c r="A184" s="1"/>
      <c r="B184" s="1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ht="12" customHeight="1">
      <c r="A185" s="1"/>
      <c r="B185" s="1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ht="12" customHeight="1">
      <c r="A186" s="1"/>
      <c r="B186" s="1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ht="12" customHeight="1">
      <c r="A187" s="1"/>
      <c r="B187" s="1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ht="12" customHeight="1">
      <c r="A188" s="1"/>
      <c r="B188" s="1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ht="12" customHeight="1">
      <c r="A189" s="1"/>
      <c r="B189" s="1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ht="12" customHeight="1">
      <c r="A190" s="1"/>
      <c r="B190" s="1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ht="12" customHeight="1">
      <c r="A191" s="1"/>
      <c r="B191" s="1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ht="12" customHeight="1">
      <c r="A192" s="1"/>
      <c r="B192" s="1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ht="12" customHeight="1">
      <c r="A193" s="1"/>
      <c r="B193" s="1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ht="12" customHeight="1">
      <c r="A194" s="1"/>
      <c r="B194" s="1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ht="12" customHeight="1">
      <c r="A195" s="1"/>
      <c r="B195" s="1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ht="12" customHeight="1">
      <c r="A196" s="1"/>
      <c r="B196" s="1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ht="12" customHeight="1">
      <c r="A197" s="1"/>
      <c r="B197" s="1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ht="12" customHeight="1">
      <c r="A198" s="1"/>
      <c r="B198" s="1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ht="12" customHeight="1">
      <c r="A199" s="1"/>
      <c r="B199" s="1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ht="12" customHeight="1">
      <c r="A200" s="1"/>
      <c r="B200" s="1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ht="12" customHeight="1">
      <c r="A201" s="1"/>
      <c r="B201" s="1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ht="12" customHeight="1">
      <c r="A202" s="1"/>
      <c r="B202" s="1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ht="12" customHeight="1">
      <c r="A203" s="1"/>
      <c r="B203" s="1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ht="12" customHeight="1">
      <c r="A204" s="1"/>
      <c r="B204" s="1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ht="12" customHeight="1">
      <c r="A205" s="1"/>
      <c r="B205" s="1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ht="12" customHeight="1">
      <c r="A206" s="1"/>
      <c r="B206" s="1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ht="12" customHeight="1">
      <c r="A207" s="1"/>
      <c r="B207" s="1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ht="12" customHeight="1">
      <c r="A208" s="1"/>
      <c r="B208" s="1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ht="12" customHeight="1">
      <c r="A209" s="1"/>
      <c r="B209" s="1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ht="12" customHeight="1">
      <c r="A210" s="1"/>
      <c r="B210" s="1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ht="12" customHeight="1">
      <c r="A211" s="1"/>
      <c r="B211" s="1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ht="12" customHeight="1">
      <c r="A212" s="1"/>
      <c r="B212" s="1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ht="12" customHeight="1">
      <c r="A213" s="1"/>
      <c r="B213" s="1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ht="12" customHeight="1">
      <c r="A214" s="1"/>
      <c r="B214" s="1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ht="12" customHeight="1">
      <c r="A215" s="1"/>
      <c r="B215" s="1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ht="12" customHeight="1">
      <c r="A216" s="1"/>
      <c r="B216" s="1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ht="12" customHeight="1">
      <c r="A217" s="1"/>
      <c r="B217" s="1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ht="12" customHeight="1">
      <c r="A218" s="1"/>
      <c r="B218" s="1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ht="12" customHeight="1">
      <c r="A219" s="1"/>
      <c r="B219" s="1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ht="12" customHeight="1">
      <c r="A220" s="1"/>
      <c r="B220" s="1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ht="12" customHeight="1">
      <c r="A221" s="1"/>
      <c r="B221" s="1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ht="12" customHeight="1">
      <c r="A222" s="1"/>
      <c r="B222" s="1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ht="12" customHeight="1">
      <c r="A223" s="1"/>
      <c r="B223" s="1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ht="12" customHeight="1">
      <c r="A224" s="1"/>
      <c r="B224" s="1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ht="12" customHeight="1">
      <c r="A225" s="1"/>
      <c r="B225" s="1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ht="12" customHeight="1">
      <c r="A226" s="1"/>
      <c r="B226" s="1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ht="12" customHeight="1">
      <c r="A227" s="1"/>
      <c r="B227" s="1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ht="12" customHeight="1">
      <c r="A228" s="1"/>
      <c r="B228" s="1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ht="12" customHeight="1">
      <c r="A229" s="1"/>
      <c r="B229" s="1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ht="12" customHeight="1">
      <c r="A230" s="1"/>
      <c r="B230" s="1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ht="12" customHeight="1">
      <c r="A231" s="1"/>
      <c r="B231" s="1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ht="12" customHeight="1">
      <c r="A232" s="1"/>
      <c r="B232" s="1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ht="12" customHeight="1">
      <c r="A233" s="1"/>
      <c r="B233" s="1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ht="12" customHeight="1">
      <c r="A234" s="1"/>
      <c r="B234" s="1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ht="12" customHeight="1">
      <c r="A235" s="1"/>
      <c r="B235" s="1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ht="12" customHeight="1">
      <c r="A236" s="1"/>
      <c r="B236" s="1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ht="12" customHeight="1">
      <c r="A237" s="1"/>
      <c r="B237" s="1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ht="12" customHeight="1">
      <c r="A238" s="1"/>
      <c r="B238" s="1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ht="12" customHeight="1">
      <c r="A239" s="1"/>
      <c r="B239" s="1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ht="12" customHeight="1">
      <c r="A240" s="1"/>
      <c r="B240" s="1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ht="12" customHeight="1">
      <c r="A241" s="1"/>
      <c r="B241" s="1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ht="12" customHeight="1">
      <c r="A242" s="1"/>
      <c r="B242" s="1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ht="12" customHeight="1">
      <c r="A243" s="1"/>
      <c r="B243" s="1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ht="12" customHeight="1">
      <c r="A244" s="1"/>
      <c r="B244" s="1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ht="12" customHeight="1">
      <c r="A245" s="1"/>
      <c r="B245" s="1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ht="12" customHeight="1">
      <c r="A246" s="1"/>
      <c r="B246" s="1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ht="12" customHeight="1">
      <c r="A247" s="1"/>
      <c r="B247" s="1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ht="12" customHeight="1">
      <c r="A248" s="1"/>
      <c r="B248" s="1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ht="12" customHeight="1">
      <c r="A249" s="1"/>
      <c r="B249" s="1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ht="12" customHeight="1">
      <c r="A250" s="1"/>
      <c r="B250" s="1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ht="12" customHeight="1">
      <c r="A251" s="1"/>
      <c r="B251" s="1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ht="12" customHeight="1">
      <c r="A252" s="1"/>
      <c r="B252" s="1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ht="12" customHeight="1">
      <c r="A253" s="1"/>
      <c r="B253" s="1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ht="12" customHeight="1">
      <c r="A254" s="1"/>
      <c r="B254" s="1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ht="12" customHeight="1">
      <c r="A255" s="1"/>
      <c r="B255" s="1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ht="12" customHeight="1">
      <c r="A256" s="1"/>
      <c r="B256" s="1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ht="12" customHeight="1">
      <c r="A257" s="1"/>
      <c r="B257" s="1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ht="12" customHeight="1">
      <c r="A258" s="1"/>
      <c r="B258" s="1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ht="12" customHeight="1">
      <c r="A259" s="1"/>
      <c r="B259" s="1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ht="12" customHeight="1">
      <c r="A260" s="1"/>
      <c r="B260" s="1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ht="12" customHeight="1">
      <c r="A261" s="1"/>
      <c r="B261" s="1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ht="12" customHeight="1">
      <c r="A262" s="1"/>
      <c r="B262" s="1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ht="12" customHeight="1">
      <c r="A263" s="1"/>
      <c r="B263" s="1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ht="12" customHeight="1">
      <c r="A264" s="1"/>
      <c r="B264" s="1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ht="12" customHeight="1">
      <c r="A265" s="1"/>
      <c r="B265" s="1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ht="12" customHeight="1">
      <c r="A266" s="1"/>
      <c r="B266" s="1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ht="12" customHeight="1">
      <c r="A267" s="1"/>
      <c r="B267" s="1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ht="12" customHeight="1">
      <c r="A268" s="1"/>
      <c r="B268" s="1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ht="12" customHeight="1">
      <c r="A269" s="1"/>
      <c r="B269" s="1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ht="12" customHeight="1">
      <c r="A270" s="1"/>
      <c r="B270" s="1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ht="12" customHeight="1">
      <c r="A271" s="1"/>
      <c r="B271" s="1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ht="12" customHeight="1">
      <c r="A272" s="1"/>
      <c r="B272" s="1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ht="12" customHeight="1">
      <c r="A273" s="1"/>
      <c r="B273" s="1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ht="12" customHeight="1">
      <c r="A274" s="1"/>
      <c r="B274" s="1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ht="12" customHeight="1">
      <c r="A275" s="1"/>
      <c r="B275" s="1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ht="12" customHeight="1">
      <c r="A276" s="1"/>
      <c r="B276" s="1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ht="12" customHeight="1">
      <c r="A277" s="1"/>
      <c r="B277" s="1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ht="12" customHeight="1">
      <c r="A278" s="1"/>
      <c r="B278" s="1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ht="12" customHeight="1">
      <c r="A279" s="1"/>
      <c r="B279" s="1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ht="12" customHeight="1">
      <c r="A280" s="1"/>
      <c r="B280" s="1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ht="12" customHeight="1">
      <c r="A281" s="1"/>
      <c r="B281" s="1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ht="12" customHeight="1">
      <c r="A282" s="1"/>
      <c r="B282" s="1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ht="12" customHeight="1">
      <c r="A283" s="1"/>
      <c r="B283" s="1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ht="12" customHeight="1">
      <c r="A284" s="1"/>
      <c r="B284" s="1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ht="12" customHeight="1">
      <c r="A285" s="1"/>
      <c r="B285" s="1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ht="12" customHeight="1">
      <c r="A286" s="1"/>
      <c r="B286" s="1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ht="12" customHeight="1">
      <c r="A287" s="1"/>
      <c r="B287" s="1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ht="12" customHeight="1">
      <c r="A288" s="1"/>
      <c r="B288" s="1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ht="12" customHeight="1">
      <c r="A289" s="1"/>
      <c r="B289" s="1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ht="12" customHeight="1">
      <c r="A290" s="1"/>
      <c r="B290" s="1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ht="12" customHeight="1">
      <c r="A291" s="1"/>
      <c r="B291" s="1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ht="12" customHeight="1">
      <c r="A292" s="1"/>
      <c r="B292" s="1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ht="12" customHeight="1">
      <c r="A293" s="1"/>
      <c r="B293" s="1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ht="12" customHeight="1">
      <c r="A294" s="1"/>
      <c r="B294" s="1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ht="12" customHeight="1">
      <c r="A295" s="1"/>
      <c r="B295" s="1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ht="12" customHeight="1">
      <c r="A296" s="1"/>
      <c r="B296" s="1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ht="12" customHeight="1">
      <c r="A297" s="1"/>
      <c r="B297" s="1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ht="12" customHeight="1">
      <c r="A298" s="1"/>
      <c r="B298" s="1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ht="12" customHeight="1">
      <c r="A299" s="1"/>
      <c r="B299" s="1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ht="12" customHeight="1">
      <c r="A300" s="1"/>
      <c r="B300" s="1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ht="12" customHeight="1">
      <c r="A301" s="1"/>
      <c r="B301" s="1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ht="12" customHeight="1">
      <c r="A302" s="1"/>
      <c r="B302" s="1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ht="12" customHeight="1">
      <c r="A303" s="1"/>
      <c r="B303" s="1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ht="12" customHeight="1">
      <c r="A304" s="1"/>
      <c r="B304" s="1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ht="12" customHeight="1">
      <c r="A305" s="1"/>
      <c r="B305" s="1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ht="12" customHeight="1">
      <c r="A306" s="1"/>
      <c r="B306" s="1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ht="12" customHeight="1">
      <c r="A307" s="1"/>
      <c r="B307" s="1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ht="12" customHeight="1">
      <c r="A308" s="1"/>
      <c r="B308" s="1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ht="12" customHeight="1">
      <c r="A309" s="1"/>
      <c r="B309" s="1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ht="12" customHeight="1">
      <c r="A310" s="1"/>
      <c r="B310" s="1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ht="12" customHeight="1">
      <c r="A311" s="1"/>
      <c r="B311" s="1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ht="12" customHeight="1">
      <c r="A312" s="1"/>
      <c r="B312" s="1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ht="12" customHeight="1">
      <c r="A313" s="1"/>
      <c r="B313" s="1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ht="12" customHeight="1">
      <c r="A314" s="1"/>
      <c r="B314" s="1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ht="12" customHeight="1">
      <c r="A315" s="1"/>
      <c r="B315" s="1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ht="12" customHeight="1">
      <c r="A316" s="1"/>
      <c r="B316" s="1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ht="12" customHeight="1">
      <c r="A317" s="1"/>
      <c r="B317" s="1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ht="12" customHeight="1">
      <c r="A318" s="1"/>
      <c r="B318" s="1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ht="12" customHeight="1">
      <c r="A319" s="1"/>
      <c r="B319" s="1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ht="12" customHeight="1">
      <c r="A320" s="1"/>
      <c r="B320" s="1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ht="12" customHeight="1">
      <c r="A321" s="1"/>
      <c r="B321" s="1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ht="12" customHeight="1">
      <c r="A322" s="1"/>
      <c r="B322" s="1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ht="12" customHeight="1">
      <c r="A323" s="1"/>
      <c r="B323" s="1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ht="12" customHeight="1">
      <c r="A324" s="1"/>
      <c r="B324" s="1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ht="12" customHeight="1">
      <c r="A325" s="1"/>
      <c r="B325" s="1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ht="12" customHeight="1">
      <c r="A326" s="1"/>
      <c r="B326" s="1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ht="12" customHeight="1">
      <c r="A327" s="1"/>
      <c r="B327" s="1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ht="12" customHeight="1">
      <c r="A328" s="1"/>
      <c r="B328" s="1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ht="12" customHeight="1">
      <c r="A329" s="1"/>
      <c r="B329" s="1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ht="12" customHeight="1">
      <c r="A330" s="1"/>
      <c r="B330" s="1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ht="12" customHeight="1">
      <c r="A331" s="1"/>
      <c r="B331" s="1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ht="12" customHeight="1">
      <c r="A332" s="1"/>
      <c r="B332" s="1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ht="12" customHeight="1">
      <c r="A333" s="1"/>
      <c r="B333" s="1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ht="12" customHeight="1">
      <c r="A334" s="1"/>
      <c r="B334" s="1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ht="12" customHeight="1">
      <c r="A335" s="1"/>
      <c r="B335" s="1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ht="12" customHeight="1">
      <c r="A336" s="1"/>
      <c r="B336" s="1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ht="12" customHeight="1">
      <c r="A337" s="1"/>
      <c r="B337" s="1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ht="12" customHeight="1">
      <c r="A338" s="1"/>
      <c r="B338" s="1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ht="12" customHeight="1">
      <c r="A339" s="1"/>
      <c r="B339" s="1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ht="12" customHeight="1">
      <c r="A340" s="1"/>
      <c r="B340" s="1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ht="12" customHeight="1">
      <c r="A341" s="1"/>
      <c r="B341" s="1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ht="12" customHeight="1">
      <c r="A342" s="1"/>
      <c r="B342" s="1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ht="12" customHeight="1">
      <c r="A343" s="1"/>
      <c r="B343" s="1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ht="12" customHeight="1">
      <c r="A344" s="1"/>
      <c r="B344" s="1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ht="12" customHeight="1">
      <c r="A345" s="1"/>
      <c r="B345" s="1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ht="12" customHeight="1">
      <c r="A346" s="1"/>
      <c r="B346" s="1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ht="12" customHeight="1">
      <c r="A347" s="1"/>
      <c r="B347" s="1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ht="12" customHeight="1">
      <c r="A348" s="1"/>
      <c r="B348" s="1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ht="12" customHeight="1">
      <c r="A349" s="1"/>
      <c r="B349" s="1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ht="12" customHeight="1">
      <c r="A350" s="1"/>
      <c r="B350" s="1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ht="12" customHeight="1">
      <c r="A351" s="1"/>
      <c r="B351" s="1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ht="12" customHeight="1">
      <c r="A352" s="1"/>
      <c r="B352" s="1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ht="12" customHeight="1">
      <c r="A353" s="1"/>
      <c r="B353" s="1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ht="12" customHeight="1">
      <c r="A354" s="1"/>
      <c r="B354" s="1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ht="12" customHeight="1">
      <c r="A355" s="1"/>
      <c r="B355" s="1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ht="12" customHeight="1">
      <c r="A356" s="1"/>
      <c r="B356" s="1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ht="12" customHeight="1">
      <c r="A357" s="1"/>
      <c r="B357" s="1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ht="12" customHeight="1">
      <c r="A358" s="1"/>
      <c r="B358" s="1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ht="12" customHeight="1">
      <c r="A359" s="1"/>
      <c r="B359" s="1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ht="12" customHeight="1">
      <c r="A360" s="1"/>
      <c r="B360" s="1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ht="12" customHeight="1">
      <c r="A361" s="1"/>
      <c r="B361" s="1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ht="12" customHeight="1">
      <c r="A362" s="1"/>
      <c r="B362" s="1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ht="12" customHeight="1">
      <c r="A363" s="1"/>
      <c r="B363" s="1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ht="12" customHeight="1">
      <c r="A364" s="1"/>
      <c r="B364" s="1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ht="12" customHeight="1">
      <c r="A365" s="1"/>
      <c r="B365" s="1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ht="12" customHeight="1">
      <c r="A366" s="1"/>
      <c r="B366" s="1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ht="12" customHeight="1">
      <c r="A367" s="1"/>
      <c r="B367" s="1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ht="12" customHeight="1">
      <c r="A368" s="1"/>
      <c r="B368" s="1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ht="12" customHeight="1">
      <c r="A369" s="1"/>
      <c r="B369" s="1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ht="12" customHeight="1">
      <c r="A370" s="1"/>
      <c r="B370" s="1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ht="12" customHeight="1">
      <c r="A371" s="1"/>
      <c r="B371" s="1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ht="12" customHeight="1">
      <c r="A372" s="1"/>
      <c r="B372" s="1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ht="12" customHeight="1">
      <c r="A373" s="1"/>
      <c r="B373" s="1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ht="12" customHeight="1">
      <c r="A374" s="1"/>
      <c r="B374" s="1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ht="12" customHeight="1">
      <c r="A375" s="1"/>
      <c r="B375" s="1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ht="12" customHeight="1">
      <c r="A376" s="1"/>
      <c r="B376" s="1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ht="12" customHeight="1">
      <c r="A377" s="1"/>
      <c r="B377" s="1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ht="12" customHeight="1">
      <c r="A378" s="1"/>
      <c r="B378" s="1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ht="12" customHeight="1">
      <c r="A379" s="1"/>
      <c r="B379" s="1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ht="12" customHeight="1">
      <c r="A380" s="1"/>
      <c r="B380" s="1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ht="12" customHeight="1">
      <c r="A381" s="1"/>
      <c r="B381" s="1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ht="12" customHeight="1">
      <c r="A382" s="1"/>
      <c r="B382" s="1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ht="12" customHeight="1">
      <c r="A383" s="1"/>
      <c r="B383" s="1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ht="12" customHeight="1">
      <c r="A384" s="1"/>
      <c r="B384" s="1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ht="12" customHeight="1">
      <c r="A385" s="1"/>
      <c r="B385" s="1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ht="12" customHeight="1">
      <c r="A386" s="1"/>
      <c r="B386" s="1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ht="12" customHeight="1">
      <c r="A387" s="1"/>
      <c r="B387" s="1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ht="12" customHeight="1">
      <c r="A388" s="1"/>
      <c r="B388" s="1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ht="12" customHeight="1">
      <c r="A389" s="1"/>
      <c r="B389" s="1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ht="12" customHeight="1">
      <c r="A390" s="1"/>
      <c r="B390" s="1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ht="12" customHeight="1">
      <c r="A391" s="1"/>
      <c r="B391" s="1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ht="12" customHeight="1">
      <c r="A392" s="1"/>
      <c r="B392" s="1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ht="12" customHeight="1">
      <c r="A393" s="1"/>
      <c r="B393" s="1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ht="12" customHeight="1">
      <c r="A394" s="1"/>
      <c r="B394" s="1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ht="12" customHeight="1">
      <c r="A395" s="1"/>
      <c r="B395" s="1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ht="12" customHeight="1">
      <c r="A396" s="1"/>
      <c r="B396" s="1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ht="12" customHeight="1">
      <c r="A397" s="1"/>
      <c r="B397" s="1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ht="12" customHeight="1">
      <c r="A398" s="1"/>
      <c r="B398" s="1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ht="12" customHeight="1">
      <c r="A399" s="1"/>
      <c r="B399" s="1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ht="12" customHeight="1">
      <c r="A400" s="1"/>
      <c r="B400" s="1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ht="12" customHeight="1">
      <c r="A401" s="1"/>
      <c r="B401" s="1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ht="12" customHeight="1">
      <c r="A402" s="1"/>
      <c r="B402" s="1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ht="12" customHeight="1">
      <c r="A403" s="1"/>
      <c r="B403" s="1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ht="12" customHeight="1">
      <c r="A404" s="1"/>
      <c r="B404" s="1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ht="12" customHeight="1">
      <c r="A405" s="1"/>
      <c r="B405" s="1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ht="12" customHeight="1">
      <c r="A406" s="1"/>
      <c r="B406" s="1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ht="12" customHeight="1">
      <c r="A407" s="1"/>
      <c r="B407" s="1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ht="12" customHeight="1">
      <c r="A408" s="1"/>
      <c r="B408" s="1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ht="12" customHeight="1">
      <c r="A409" s="1"/>
      <c r="B409" s="1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ht="12" customHeight="1">
      <c r="A410" s="1"/>
      <c r="B410" s="1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ht="12" customHeight="1">
      <c r="A411" s="1"/>
      <c r="B411" s="1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ht="12" customHeight="1">
      <c r="A412" s="1"/>
      <c r="B412" s="1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ht="12" customHeight="1">
      <c r="A413" s="1"/>
      <c r="B413" s="1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ht="12" customHeight="1">
      <c r="A414" s="1"/>
      <c r="B414" s="1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ht="12" customHeight="1">
      <c r="A415" s="1"/>
      <c r="B415" s="1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ht="12" customHeight="1">
      <c r="A416" s="1"/>
      <c r="B416" s="1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ht="12" customHeight="1">
      <c r="A417" s="1"/>
      <c r="B417" s="1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ht="12" customHeight="1">
      <c r="A418" s="1"/>
      <c r="B418" s="1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ht="12" customHeight="1">
      <c r="A419" s="1"/>
      <c r="B419" s="1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ht="12" customHeight="1">
      <c r="A420" s="1"/>
      <c r="B420" s="1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ht="12" customHeight="1">
      <c r="A421" s="1"/>
      <c r="B421" s="1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ht="12" customHeight="1">
      <c r="A422" s="1"/>
      <c r="B422" s="1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ht="12" customHeight="1">
      <c r="A423" s="1"/>
      <c r="B423" s="1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ht="12" customHeight="1">
      <c r="A424" s="1"/>
      <c r="B424" s="1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ht="12" customHeight="1">
      <c r="A425" s="1"/>
      <c r="B425" s="1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ht="12" customHeight="1">
      <c r="A426" s="1"/>
      <c r="B426" s="1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ht="12" customHeight="1">
      <c r="A427" s="1"/>
      <c r="B427" s="1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ht="12" customHeight="1">
      <c r="A428" s="1"/>
      <c r="B428" s="1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ht="12" customHeight="1">
      <c r="A429" s="1"/>
      <c r="B429" s="1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ht="12" customHeight="1">
      <c r="A430" s="1"/>
      <c r="B430" s="1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ht="12" customHeight="1">
      <c r="A431" s="1"/>
      <c r="B431" s="1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ht="12" customHeight="1">
      <c r="A432" s="1"/>
      <c r="B432" s="1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ht="12" customHeight="1">
      <c r="A433" s="1"/>
      <c r="B433" s="1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ht="12" customHeight="1">
      <c r="A434" s="1"/>
      <c r="B434" s="1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ht="12" customHeight="1">
      <c r="A435" s="1"/>
      <c r="B435" s="1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ht="12" customHeight="1">
      <c r="A436" s="1"/>
      <c r="B436" s="1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ht="12" customHeight="1">
      <c r="A437" s="1"/>
      <c r="B437" s="1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ht="12" customHeight="1">
      <c r="A438" s="1"/>
      <c r="B438" s="1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ht="12" customHeight="1">
      <c r="A439" s="1"/>
      <c r="B439" s="1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ht="12" customHeight="1">
      <c r="A440" s="1"/>
      <c r="B440" s="1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ht="12" customHeight="1">
      <c r="A441" s="1"/>
      <c r="B441" s="1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ht="12" customHeight="1">
      <c r="A442" s="1"/>
      <c r="B442" s="1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ht="12" customHeight="1">
      <c r="A443" s="1"/>
      <c r="B443" s="1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ht="12" customHeight="1">
      <c r="A444" s="1"/>
      <c r="B444" s="1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ht="12" customHeight="1">
      <c r="A445" s="1"/>
      <c r="B445" s="1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ht="12" customHeight="1">
      <c r="A446" s="1"/>
      <c r="B446" s="1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ht="12" customHeight="1">
      <c r="A447" s="1"/>
      <c r="B447" s="1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ht="12" customHeight="1">
      <c r="A448" s="1"/>
      <c r="B448" s="1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ht="12" customHeight="1">
      <c r="A449" s="1"/>
      <c r="B449" s="1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ht="12" customHeight="1">
      <c r="A450" s="1"/>
      <c r="B450" s="1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ht="12" customHeight="1">
      <c r="A451" s="1"/>
      <c r="B451" s="1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ht="12" customHeight="1">
      <c r="A452" s="1"/>
      <c r="B452" s="1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ht="12" customHeight="1">
      <c r="A453" s="1"/>
      <c r="B453" s="1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ht="12" customHeight="1">
      <c r="A454" s="1"/>
      <c r="B454" s="1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ht="12" customHeight="1">
      <c r="A455" s="1"/>
      <c r="B455" s="1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ht="12" customHeight="1">
      <c r="A456" s="1"/>
      <c r="B456" s="1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ht="12" customHeight="1">
      <c r="A457" s="1"/>
      <c r="B457" s="1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ht="12" customHeight="1">
      <c r="A458" s="1"/>
      <c r="B458" s="1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ht="12" customHeight="1">
      <c r="A459" s="1"/>
      <c r="B459" s="1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ht="12" customHeight="1">
      <c r="A460" s="1"/>
      <c r="B460" s="1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ht="12" customHeight="1">
      <c r="A461" s="1"/>
      <c r="B461" s="1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ht="12" customHeight="1">
      <c r="A462" s="1"/>
      <c r="B462" s="1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ht="12" customHeight="1">
      <c r="A463" s="1"/>
      <c r="B463" s="1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ht="12" customHeight="1">
      <c r="A464" s="1"/>
      <c r="B464" s="1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ht="12" customHeight="1">
      <c r="A465" s="1"/>
      <c r="B465" s="1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ht="12" customHeight="1">
      <c r="A466" s="1"/>
      <c r="B466" s="1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ht="12" customHeight="1">
      <c r="A467" s="1"/>
      <c r="B467" s="1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ht="12" customHeight="1">
      <c r="A468" s="1"/>
      <c r="B468" s="1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ht="12" customHeight="1">
      <c r="A469" s="1"/>
      <c r="B469" s="1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ht="12" customHeight="1">
      <c r="A470" s="1"/>
      <c r="B470" s="1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ht="12" customHeight="1">
      <c r="A471" s="1"/>
      <c r="B471" s="1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ht="12" customHeight="1">
      <c r="A472" s="1"/>
      <c r="B472" s="1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ht="12" customHeight="1">
      <c r="A473" s="1"/>
      <c r="B473" s="1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ht="12" customHeight="1">
      <c r="A474" s="1"/>
      <c r="B474" s="1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ht="12" customHeight="1">
      <c r="A475" s="1"/>
      <c r="B475" s="1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ht="12" customHeight="1">
      <c r="A476" s="1"/>
      <c r="B476" s="1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ht="12" customHeight="1">
      <c r="A477" s="1"/>
      <c r="B477" s="1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ht="12" customHeight="1">
      <c r="A478" s="1"/>
      <c r="B478" s="1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ht="12" customHeight="1">
      <c r="A479" s="1"/>
      <c r="B479" s="1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ht="12" customHeight="1">
      <c r="A480" s="1"/>
      <c r="B480" s="1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ht="12" customHeight="1">
      <c r="A481" s="1"/>
      <c r="B481" s="1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ht="12" customHeight="1">
      <c r="A482" s="1"/>
      <c r="B482" s="1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ht="12" customHeight="1">
      <c r="A483" s="1"/>
      <c r="B483" s="1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ht="12" customHeight="1">
      <c r="A484" s="1"/>
      <c r="B484" s="1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ht="12" customHeight="1">
      <c r="A485" s="1"/>
      <c r="B485" s="1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ht="12" customHeight="1">
      <c r="A486" s="1"/>
      <c r="B486" s="1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ht="12" customHeight="1">
      <c r="A487" s="1"/>
      <c r="B487" s="1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ht="12" customHeight="1">
      <c r="A488" s="1"/>
      <c r="B488" s="1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ht="12" customHeight="1">
      <c r="A489" s="1"/>
      <c r="B489" s="1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ht="12" customHeight="1">
      <c r="A490" s="1"/>
      <c r="B490" s="1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ht="12" customHeight="1">
      <c r="A491" s="1"/>
      <c r="B491" s="1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ht="12" customHeight="1">
      <c r="A492" s="1"/>
      <c r="B492" s="1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ht="12" customHeight="1">
      <c r="A493" s="1"/>
      <c r="B493" s="1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ht="12" customHeight="1">
      <c r="A494" s="1"/>
      <c r="B494" s="1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ht="12" customHeight="1">
      <c r="A495" s="1"/>
      <c r="B495" s="1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ht="12" customHeight="1">
      <c r="A496" s="1"/>
      <c r="B496" s="1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ht="12" customHeight="1">
      <c r="A497" s="1"/>
      <c r="B497" s="1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ht="12" customHeight="1">
      <c r="A498" s="1"/>
      <c r="B498" s="1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ht="12" customHeight="1">
      <c r="A499" s="1"/>
      <c r="B499" s="1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ht="12" customHeight="1">
      <c r="A500" s="1"/>
      <c r="B500" s="1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ht="12" customHeight="1">
      <c r="A501" s="1"/>
      <c r="B501" s="1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ht="12" customHeight="1">
      <c r="A502" s="1"/>
      <c r="B502" s="1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ht="12" customHeight="1">
      <c r="A503" s="1"/>
      <c r="B503" s="1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ht="12" customHeight="1">
      <c r="A504" s="1"/>
      <c r="B504" s="1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ht="12" customHeight="1">
      <c r="A505" s="1"/>
      <c r="B505" s="1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ht="12" customHeight="1">
      <c r="A506" s="1"/>
      <c r="B506" s="1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ht="12" customHeight="1">
      <c r="A507" s="1"/>
      <c r="B507" s="1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ht="12" customHeight="1">
      <c r="A508" s="1"/>
      <c r="B508" s="1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ht="12" customHeight="1">
      <c r="A509" s="1"/>
      <c r="B509" s="1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ht="12" customHeight="1">
      <c r="A510" s="1"/>
      <c r="B510" s="1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ht="12" customHeight="1">
      <c r="A511" s="1"/>
      <c r="B511" s="1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ht="12" customHeight="1">
      <c r="A512" s="1"/>
      <c r="B512" s="1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ht="12" customHeight="1">
      <c r="A513" s="1"/>
      <c r="B513" s="1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ht="12" customHeight="1">
      <c r="A514" s="1"/>
      <c r="B514" s="1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ht="12" customHeight="1">
      <c r="A515" s="1"/>
      <c r="B515" s="1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ht="12" customHeight="1">
      <c r="A516" s="1"/>
      <c r="B516" s="1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ht="12" customHeight="1">
      <c r="A517" s="1"/>
      <c r="B517" s="1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ht="12" customHeight="1">
      <c r="A518" s="1"/>
      <c r="B518" s="1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ht="12" customHeight="1">
      <c r="A519" s="1"/>
      <c r="B519" s="1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ht="12" customHeight="1">
      <c r="A520" s="1"/>
      <c r="B520" s="1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ht="12" customHeight="1">
      <c r="A521" s="1"/>
      <c r="B521" s="1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ht="12" customHeight="1">
      <c r="A522" s="1"/>
      <c r="B522" s="1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ht="12" customHeight="1">
      <c r="A523" s="1"/>
      <c r="B523" s="1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ht="12" customHeight="1">
      <c r="A524" s="1"/>
      <c r="B524" s="1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ht="12" customHeight="1">
      <c r="A525" s="1"/>
      <c r="B525" s="1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ht="12" customHeight="1">
      <c r="A526" s="1"/>
      <c r="B526" s="1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ht="12" customHeight="1">
      <c r="A527" s="1"/>
      <c r="B527" s="1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ht="12" customHeight="1">
      <c r="A528" s="1"/>
      <c r="B528" s="1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ht="12" customHeight="1">
      <c r="A529" s="1"/>
      <c r="B529" s="1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ht="12" customHeight="1">
      <c r="A530" s="1"/>
      <c r="B530" s="1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ht="12" customHeight="1">
      <c r="A531" s="1"/>
      <c r="B531" s="1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ht="12" customHeight="1">
      <c r="A532" s="1"/>
      <c r="B532" s="1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ht="12" customHeight="1">
      <c r="A533" s="1"/>
      <c r="B533" s="1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ht="12" customHeight="1">
      <c r="A534" s="1"/>
      <c r="B534" s="1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ht="12" customHeight="1">
      <c r="A535" s="1"/>
      <c r="B535" s="1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ht="12" customHeight="1">
      <c r="A536" s="1"/>
      <c r="B536" s="1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ht="12" customHeight="1">
      <c r="A537" s="1"/>
      <c r="B537" s="1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ht="12" customHeight="1">
      <c r="A538" s="1"/>
      <c r="B538" s="1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ht="12" customHeight="1">
      <c r="A539" s="1"/>
      <c r="B539" s="1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ht="12" customHeight="1">
      <c r="A540" s="1"/>
      <c r="B540" s="1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ht="12" customHeight="1">
      <c r="A541" s="1"/>
      <c r="B541" s="1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ht="12" customHeight="1">
      <c r="A542" s="1"/>
      <c r="B542" s="1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ht="12" customHeight="1">
      <c r="A543" s="1"/>
      <c r="B543" s="1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ht="12" customHeight="1">
      <c r="A544" s="1"/>
      <c r="B544" s="1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ht="12" customHeight="1">
      <c r="A545" s="1"/>
      <c r="B545" s="1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ht="12" customHeight="1">
      <c r="A546" s="1"/>
      <c r="B546" s="1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ht="12" customHeight="1">
      <c r="A547" s="1"/>
      <c r="B547" s="1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ht="12" customHeight="1">
      <c r="A548" s="1"/>
      <c r="B548" s="1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ht="12" customHeight="1">
      <c r="A549" s="1"/>
      <c r="B549" s="1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ht="12" customHeight="1">
      <c r="A550" s="1"/>
      <c r="B550" s="1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ht="12" customHeight="1">
      <c r="A551" s="1"/>
      <c r="B551" s="1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ht="12" customHeight="1">
      <c r="A552" s="1"/>
      <c r="B552" s="1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ht="12" customHeight="1">
      <c r="A553" s="1"/>
      <c r="B553" s="1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ht="12" customHeight="1">
      <c r="A554" s="1"/>
      <c r="B554" s="1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ht="12" customHeight="1">
      <c r="A555" s="1"/>
      <c r="B555" s="1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ht="12" customHeight="1">
      <c r="A556" s="1"/>
      <c r="B556" s="1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ht="12" customHeight="1">
      <c r="A557" s="1"/>
      <c r="B557" s="1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ht="12" customHeight="1">
      <c r="A558" s="1"/>
      <c r="B558" s="1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ht="12" customHeight="1">
      <c r="A559" s="1"/>
      <c r="B559" s="1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ht="12" customHeight="1">
      <c r="A560" s="1"/>
      <c r="B560" s="1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ht="12" customHeight="1">
      <c r="A561" s="1"/>
      <c r="B561" s="1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ht="12" customHeight="1">
      <c r="A562" s="1"/>
      <c r="B562" s="1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ht="12" customHeight="1">
      <c r="A563" s="1"/>
      <c r="B563" s="1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ht="12" customHeight="1">
      <c r="A564" s="1"/>
      <c r="B564" s="1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ht="12" customHeight="1">
      <c r="A565" s="1"/>
      <c r="B565" s="1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ht="12" customHeight="1">
      <c r="A566" s="1"/>
      <c r="B566" s="1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ht="12" customHeight="1">
      <c r="A567" s="1"/>
      <c r="B567" s="1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ht="12" customHeight="1">
      <c r="A568" s="1"/>
      <c r="B568" s="1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ht="12" customHeight="1">
      <c r="A569" s="1"/>
      <c r="B569" s="1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ht="12" customHeight="1">
      <c r="A570" s="1"/>
      <c r="B570" s="1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ht="12" customHeight="1">
      <c r="A571" s="1"/>
      <c r="B571" s="1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ht="12" customHeight="1">
      <c r="A572" s="1"/>
      <c r="B572" s="1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ht="12" customHeight="1">
      <c r="A573" s="1"/>
      <c r="B573" s="1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ht="12" customHeight="1">
      <c r="A574" s="1"/>
      <c r="B574" s="1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ht="12" customHeight="1">
      <c r="A575" s="1"/>
      <c r="B575" s="1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ht="12" customHeight="1">
      <c r="A576" s="1"/>
      <c r="B576" s="1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ht="12" customHeight="1">
      <c r="A577" s="1"/>
      <c r="B577" s="1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ht="12" customHeight="1">
      <c r="A578" s="1"/>
      <c r="B578" s="1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ht="12" customHeight="1">
      <c r="A579" s="1"/>
      <c r="B579" s="1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ht="12" customHeight="1">
      <c r="A580" s="1"/>
      <c r="B580" s="1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ht="12" customHeight="1">
      <c r="A581" s="1"/>
      <c r="B581" s="1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ht="12" customHeight="1">
      <c r="A582" s="1"/>
      <c r="B582" s="1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ht="12" customHeight="1">
      <c r="A583" s="1"/>
      <c r="B583" s="1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ht="12" customHeight="1">
      <c r="A584" s="1"/>
      <c r="B584" s="1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ht="12" customHeight="1">
      <c r="A585" s="1"/>
      <c r="B585" s="1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ht="12" customHeight="1">
      <c r="A586" s="1"/>
      <c r="B586" s="1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ht="12" customHeight="1">
      <c r="A587" s="1"/>
      <c r="B587" s="1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ht="12" customHeight="1">
      <c r="A588" s="1"/>
      <c r="B588" s="1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ht="12" customHeight="1">
      <c r="A589" s="1"/>
      <c r="B589" s="1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ht="12" customHeight="1">
      <c r="A590" s="1"/>
      <c r="B590" s="1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ht="12" customHeight="1">
      <c r="A591" s="1"/>
      <c r="B591" s="1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ht="12" customHeight="1">
      <c r="A592" s="1"/>
      <c r="B592" s="1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ht="12" customHeight="1">
      <c r="A593" s="1"/>
      <c r="B593" s="1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ht="12" customHeight="1">
      <c r="A594" s="1"/>
      <c r="B594" s="1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ht="12" customHeight="1">
      <c r="A595" s="1"/>
      <c r="B595" s="1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ht="12" customHeight="1">
      <c r="A596" s="1"/>
      <c r="B596" s="1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ht="12" customHeight="1">
      <c r="A597" s="1"/>
      <c r="B597" s="1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ht="12" customHeight="1">
      <c r="A598" s="1"/>
      <c r="B598" s="1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ht="12" customHeight="1">
      <c r="A599" s="1"/>
      <c r="B599" s="1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ht="12" customHeight="1">
      <c r="A600" s="1"/>
      <c r="B600" s="1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ht="12" customHeight="1">
      <c r="A601" s="1"/>
      <c r="B601" s="1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ht="12" customHeight="1">
      <c r="A602" s="1"/>
      <c r="B602" s="1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ht="12" customHeight="1">
      <c r="A603" s="1"/>
      <c r="B603" s="1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ht="12" customHeight="1">
      <c r="A604" s="1"/>
      <c r="B604" s="1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ht="12" customHeight="1">
      <c r="A605" s="1"/>
      <c r="B605" s="1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ht="12" customHeight="1">
      <c r="A606" s="1"/>
      <c r="B606" s="1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</row>
    <row r="607" spans="1:46" ht="12" customHeight="1">
      <c r="A607" s="1"/>
      <c r="B607" s="1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</row>
    <row r="608" spans="1:46" ht="12" customHeight="1">
      <c r="A608" s="1"/>
      <c r="B608" s="1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</row>
    <row r="609" spans="1:46" ht="12" customHeight="1">
      <c r="A609" s="1"/>
      <c r="B609" s="1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</row>
    <row r="610" spans="1:46" ht="12" customHeight="1">
      <c r="A610" s="1"/>
      <c r="B610" s="1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</row>
    <row r="611" spans="1:46" ht="12" customHeight="1">
      <c r="A611" s="1"/>
      <c r="B611" s="1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</row>
    <row r="612" spans="1:46" ht="12" customHeight="1">
      <c r="A612" s="1"/>
      <c r="B612" s="1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</row>
    <row r="613" spans="1:46" ht="12" customHeight="1">
      <c r="A613" s="1"/>
      <c r="B613" s="1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</row>
    <row r="614" spans="1:46" ht="12" customHeight="1">
      <c r="A614" s="1"/>
      <c r="B614" s="1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</row>
    <row r="615" spans="1:46" ht="12" customHeight="1">
      <c r="A615" s="1"/>
      <c r="B615" s="1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</row>
    <row r="616" spans="1:46" ht="12" customHeight="1">
      <c r="A616" s="1"/>
      <c r="B616" s="1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</row>
    <row r="617" spans="1:46" ht="12" customHeight="1">
      <c r="A617" s="1"/>
      <c r="B617" s="1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</row>
    <row r="618" spans="1:46" ht="12" customHeight="1">
      <c r="A618" s="1"/>
      <c r="B618" s="1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</row>
    <row r="619" spans="1:46" ht="12" customHeight="1">
      <c r="A619" s="1"/>
      <c r="B619" s="1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</row>
    <row r="620" spans="1:46" ht="12" customHeight="1">
      <c r="A620" s="1"/>
      <c r="B620" s="1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</row>
    <row r="621" spans="1:46" ht="12" customHeight="1">
      <c r="A621" s="1"/>
      <c r="B621" s="1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</row>
    <row r="622" spans="1:46" ht="12" customHeight="1">
      <c r="A622" s="1"/>
      <c r="B622" s="1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</row>
    <row r="623" spans="1:46" ht="12" customHeight="1">
      <c r="A623" s="1"/>
      <c r="B623" s="1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</row>
    <row r="624" spans="1:46" ht="12" customHeight="1">
      <c r="A624" s="1"/>
      <c r="B624" s="1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</row>
    <row r="625" spans="1:46" ht="12" customHeight="1">
      <c r="A625" s="1"/>
      <c r="B625" s="1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</row>
    <row r="626" spans="1:46" ht="12" customHeight="1">
      <c r="A626" s="1"/>
      <c r="B626" s="1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</row>
    <row r="627" spans="1:46" ht="12" customHeight="1">
      <c r="A627" s="1"/>
      <c r="B627" s="1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</row>
    <row r="628" spans="1:46" ht="12" customHeight="1">
      <c r="A628" s="1"/>
      <c r="B628" s="1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</row>
    <row r="629" spans="1:46" ht="12" customHeight="1">
      <c r="A629" s="1"/>
      <c r="B629" s="1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</row>
    <row r="630" spans="1:46" ht="12" customHeight="1">
      <c r="A630" s="1"/>
      <c r="B630" s="1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</row>
    <row r="631" spans="1:46" ht="12" customHeight="1">
      <c r="A631" s="1"/>
      <c r="B631" s="1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</row>
    <row r="632" spans="1:46" ht="12" customHeight="1">
      <c r="A632" s="1"/>
      <c r="B632" s="1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</row>
    <row r="633" spans="1:46" ht="12" customHeight="1">
      <c r="A633" s="1"/>
      <c r="B633" s="1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</row>
    <row r="634" spans="1:46" ht="12" customHeight="1">
      <c r="A634" s="1"/>
      <c r="B634" s="1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</row>
    <row r="635" spans="1:46" ht="12" customHeight="1">
      <c r="A635" s="1"/>
      <c r="B635" s="1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</row>
    <row r="636" spans="1:46" ht="12" customHeight="1">
      <c r="A636" s="1"/>
      <c r="B636" s="1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</row>
    <row r="637" spans="1:46" ht="12" customHeight="1">
      <c r="A637" s="1"/>
      <c r="B637" s="1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</row>
    <row r="638" spans="1:46" ht="12" customHeight="1">
      <c r="A638" s="1"/>
      <c r="B638" s="1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</row>
    <row r="639" spans="1:46" ht="12" customHeight="1">
      <c r="A639" s="1"/>
      <c r="B639" s="1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</row>
    <row r="640" spans="1:46" ht="12" customHeight="1">
      <c r="A640" s="1"/>
      <c r="B640" s="1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</row>
    <row r="641" spans="1:46" ht="12" customHeight="1">
      <c r="A641" s="1"/>
      <c r="B641" s="1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</row>
    <row r="642" spans="1:46" ht="12" customHeight="1">
      <c r="A642" s="1"/>
      <c r="B642" s="1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</row>
    <row r="643" spans="1:46" ht="12" customHeight="1">
      <c r="A643" s="1"/>
      <c r="B643" s="1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</row>
    <row r="644" spans="1:46" ht="12" customHeight="1">
      <c r="A644" s="1"/>
      <c r="B644" s="1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</row>
    <row r="645" spans="1:46" ht="12" customHeight="1">
      <c r="A645" s="1"/>
      <c r="B645" s="1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</row>
    <row r="646" spans="1:46" ht="12" customHeight="1">
      <c r="A646" s="1"/>
      <c r="B646" s="1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</row>
    <row r="647" spans="1:46" ht="12" customHeight="1">
      <c r="A647" s="1"/>
      <c r="B647" s="1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</row>
    <row r="648" spans="1:46" ht="12" customHeight="1">
      <c r="A648" s="1"/>
      <c r="B648" s="1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</row>
    <row r="649" spans="1:46" ht="12" customHeight="1">
      <c r="A649" s="1"/>
      <c r="B649" s="1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</row>
    <row r="650" spans="1:46" ht="12" customHeight="1">
      <c r="A650" s="1"/>
      <c r="B650" s="1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</row>
    <row r="651" spans="1:46" ht="12" customHeight="1">
      <c r="A651" s="1"/>
      <c r="B651" s="1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</row>
    <row r="652" spans="1:46" ht="12" customHeight="1">
      <c r="A652" s="1"/>
      <c r="B652" s="1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</row>
    <row r="653" spans="1:46" ht="12" customHeight="1">
      <c r="A653" s="1"/>
      <c r="B653" s="1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</row>
    <row r="654" spans="1:46" ht="12" customHeight="1">
      <c r="A654" s="1"/>
      <c r="B654" s="1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</row>
    <row r="655" spans="1:46" ht="12" customHeight="1">
      <c r="A655" s="1"/>
      <c r="B655" s="1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</row>
    <row r="656" spans="1:46" ht="12" customHeight="1">
      <c r="A656" s="1"/>
      <c r="B656" s="1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</row>
    <row r="657" spans="1:46" ht="12" customHeight="1">
      <c r="A657" s="1"/>
      <c r="B657" s="1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</row>
    <row r="658" spans="1:46" ht="12" customHeight="1">
      <c r="A658" s="1"/>
      <c r="B658" s="1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</row>
    <row r="659" spans="1:46" ht="12" customHeight="1">
      <c r="A659" s="1"/>
      <c r="B659" s="1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</row>
    <row r="660" spans="1:46" ht="12" customHeight="1">
      <c r="A660" s="1"/>
      <c r="B660" s="1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</row>
    <row r="661" spans="1:46" ht="12" customHeight="1">
      <c r="A661" s="1"/>
      <c r="B661" s="1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</row>
    <row r="662" spans="1:46" ht="12" customHeight="1">
      <c r="A662" s="1"/>
      <c r="B662" s="1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</row>
    <row r="663" spans="1:46" ht="12" customHeight="1">
      <c r="A663" s="1"/>
      <c r="B663" s="1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</row>
    <row r="664" spans="1:46" ht="12" customHeight="1">
      <c r="A664" s="1"/>
      <c r="B664" s="1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</row>
    <row r="665" spans="1:46" ht="12" customHeight="1">
      <c r="A665" s="1"/>
      <c r="B665" s="1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</row>
    <row r="666" spans="1:46" ht="12" customHeight="1">
      <c r="A666" s="1"/>
      <c r="B666" s="1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</row>
    <row r="667" spans="1:46" ht="12" customHeight="1">
      <c r="A667" s="1"/>
      <c r="B667" s="1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</row>
    <row r="668" spans="1:46" ht="12" customHeight="1">
      <c r="A668" s="1"/>
      <c r="B668" s="1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</row>
    <row r="669" spans="1:46" ht="12" customHeight="1">
      <c r="A669" s="1"/>
      <c r="B669" s="1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</row>
    <row r="670" spans="1:46" ht="12" customHeight="1">
      <c r="A670" s="1"/>
      <c r="B670" s="1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</row>
    <row r="671" spans="1:46" ht="12" customHeight="1">
      <c r="A671" s="1"/>
      <c r="B671" s="1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</row>
    <row r="672" spans="1:46" ht="12" customHeight="1">
      <c r="A672" s="1"/>
      <c r="B672" s="1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</row>
    <row r="673" spans="1:46" ht="12" customHeight="1">
      <c r="A673" s="1"/>
      <c r="B673" s="1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</row>
    <row r="674" spans="1:46" ht="12" customHeight="1">
      <c r="A674" s="1"/>
      <c r="B674" s="1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</row>
    <row r="675" spans="1:46" ht="12" customHeight="1">
      <c r="A675" s="1"/>
      <c r="B675" s="1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</row>
    <row r="676" spans="1:46" ht="12" customHeight="1">
      <c r="A676" s="1"/>
      <c r="B676" s="1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</row>
    <row r="677" spans="1:46" ht="12" customHeight="1">
      <c r="A677" s="1"/>
      <c r="B677" s="1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</row>
    <row r="678" spans="1:46" ht="12" customHeight="1">
      <c r="A678" s="1"/>
      <c r="B678" s="1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</row>
    <row r="679" spans="1:46" ht="12" customHeight="1">
      <c r="A679" s="1"/>
      <c r="B679" s="1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</row>
    <row r="680" spans="1:46" ht="12" customHeight="1">
      <c r="A680" s="1"/>
      <c r="B680" s="1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</row>
    <row r="681" spans="1:46" ht="12" customHeight="1">
      <c r="A681" s="1"/>
      <c r="B681" s="1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</row>
    <row r="682" spans="1:46" ht="12" customHeight="1">
      <c r="A682" s="1"/>
      <c r="B682" s="1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</row>
    <row r="683" spans="1:46" ht="12" customHeight="1">
      <c r="A683" s="1"/>
      <c r="B683" s="1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</row>
    <row r="684" spans="1:46" ht="12" customHeight="1">
      <c r="A684" s="1"/>
      <c r="B684" s="1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</row>
    <row r="685" spans="1:46" ht="12" customHeight="1">
      <c r="A685" s="1"/>
      <c r="B685" s="1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</row>
    <row r="686" spans="1:46" ht="12" customHeight="1">
      <c r="A686" s="1"/>
      <c r="B686" s="1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</row>
    <row r="687" spans="1:46" ht="12" customHeight="1">
      <c r="A687" s="1"/>
      <c r="B687" s="1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</row>
    <row r="688" spans="1:46" ht="12" customHeight="1">
      <c r="A688" s="1"/>
      <c r="B688" s="1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</row>
    <row r="689" spans="1:46" ht="12" customHeight="1">
      <c r="A689" s="1"/>
      <c r="B689" s="1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</row>
    <row r="690" spans="1:46" ht="12" customHeight="1">
      <c r="A690" s="1"/>
      <c r="B690" s="1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</row>
    <row r="691" spans="1:46" ht="12" customHeight="1">
      <c r="A691" s="1"/>
      <c r="B691" s="1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</row>
    <row r="692" spans="1:46" ht="12" customHeight="1">
      <c r="A692" s="1"/>
      <c r="B692" s="1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</row>
    <row r="693" spans="1:46" ht="12" customHeight="1">
      <c r="A693" s="1"/>
      <c r="B693" s="1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</row>
    <row r="694" spans="1:46" ht="12" customHeight="1">
      <c r="A694" s="1"/>
      <c r="B694" s="1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</row>
    <row r="695" spans="1:46" ht="12" customHeight="1">
      <c r="A695" s="1"/>
      <c r="B695" s="1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</row>
    <row r="696" spans="1:46" ht="12" customHeight="1">
      <c r="A696" s="1"/>
      <c r="B696" s="1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</row>
    <row r="697" spans="1:46" ht="12" customHeight="1">
      <c r="A697" s="1"/>
      <c r="B697" s="1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</row>
    <row r="698" spans="1:46" ht="12" customHeight="1">
      <c r="A698" s="1"/>
      <c r="B698" s="1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</row>
    <row r="699" spans="1:46" ht="12" customHeight="1">
      <c r="A699" s="1"/>
      <c r="B699" s="1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</row>
    <row r="700" spans="1:46" ht="12" customHeight="1">
      <c r="A700" s="1"/>
      <c r="B700" s="1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</row>
    <row r="701" spans="1:46" ht="12" customHeight="1">
      <c r="A701" s="1"/>
      <c r="B701" s="1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</row>
    <row r="702" spans="1:46" ht="12" customHeight="1">
      <c r="A702" s="1"/>
      <c r="B702" s="1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</row>
    <row r="703" spans="1:46" ht="12" customHeight="1">
      <c r="A703" s="1"/>
      <c r="B703" s="1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</row>
    <row r="704" spans="1:46" ht="12" customHeight="1">
      <c r="A704" s="1"/>
      <c r="B704" s="1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</row>
    <row r="705" spans="1:46" ht="12" customHeight="1">
      <c r="A705" s="1"/>
      <c r="B705" s="1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</row>
    <row r="706" spans="1:46" ht="12" customHeight="1">
      <c r="A706" s="1"/>
      <c r="B706" s="1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</row>
    <row r="707" spans="1:46" ht="12" customHeight="1">
      <c r="A707" s="1"/>
      <c r="B707" s="1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</row>
    <row r="708" spans="1:46" ht="12" customHeight="1">
      <c r="A708" s="1"/>
      <c r="B708" s="1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</row>
    <row r="709" spans="1:46" ht="12" customHeight="1">
      <c r="A709" s="1"/>
      <c r="B709" s="1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</row>
    <row r="710" spans="1:46" ht="12" customHeight="1">
      <c r="A710" s="1"/>
      <c r="B710" s="1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</row>
    <row r="711" spans="1:46" ht="12" customHeight="1">
      <c r="A711" s="1"/>
      <c r="B711" s="1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</row>
    <row r="712" spans="1:46" ht="12" customHeight="1">
      <c r="A712" s="1"/>
      <c r="B712" s="1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</row>
    <row r="713" spans="1:46" ht="12" customHeight="1">
      <c r="A713" s="1"/>
      <c r="B713" s="1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</row>
    <row r="714" spans="1:46" ht="12" customHeight="1">
      <c r="A714" s="1"/>
      <c r="B714" s="1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</row>
    <row r="715" spans="1:46" ht="12" customHeight="1">
      <c r="A715" s="1"/>
      <c r="B715" s="1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</row>
    <row r="716" spans="1:46" ht="12" customHeight="1">
      <c r="A716" s="1"/>
      <c r="B716" s="1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</row>
    <row r="717" spans="1:46" ht="12" customHeight="1">
      <c r="A717" s="1"/>
      <c r="B717" s="1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</row>
    <row r="718" spans="1:46" ht="12" customHeight="1">
      <c r="A718" s="1"/>
      <c r="B718" s="1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</row>
    <row r="719" spans="1:46" ht="12" customHeight="1">
      <c r="A719" s="1"/>
      <c r="B719" s="1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</row>
    <row r="720" spans="1:46" ht="12" customHeight="1">
      <c r="A720" s="1"/>
      <c r="B720" s="1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</row>
    <row r="721" spans="1:46" ht="12" customHeight="1">
      <c r="A721" s="1"/>
      <c r="B721" s="1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</row>
    <row r="722" spans="1:46" ht="12" customHeight="1">
      <c r="A722" s="1"/>
      <c r="B722" s="1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</row>
    <row r="723" spans="1:46" ht="12" customHeight="1">
      <c r="A723" s="1"/>
      <c r="B723" s="1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</row>
    <row r="724" spans="1:46" ht="12" customHeight="1">
      <c r="A724" s="1"/>
      <c r="B724" s="1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</row>
    <row r="725" spans="1:46" ht="12" customHeight="1">
      <c r="A725" s="1"/>
      <c r="B725" s="1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</row>
    <row r="726" spans="1:46" ht="12" customHeight="1">
      <c r="A726" s="1"/>
      <c r="B726" s="1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</row>
    <row r="727" spans="1:46" ht="12" customHeight="1">
      <c r="A727" s="1"/>
      <c r="B727" s="1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</row>
    <row r="728" spans="1:46" ht="12" customHeight="1">
      <c r="A728" s="1"/>
      <c r="B728" s="1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</row>
    <row r="729" spans="1:46" ht="12" customHeight="1">
      <c r="A729" s="1"/>
      <c r="B729" s="1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</row>
    <row r="730" spans="1:46" ht="12" customHeight="1">
      <c r="A730" s="1"/>
      <c r="B730" s="1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</row>
    <row r="731" spans="1:46" ht="12" customHeight="1">
      <c r="A731" s="1"/>
      <c r="B731" s="1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</row>
    <row r="732" spans="1:46" ht="12" customHeight="1">
      <c r="A732" s="1"/>
      <c r="B732" s="1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</row>
    <row r="733" spans="1:46" ht="12" customHeight="1">
      <c r="A733" s="1"/>
      <c r="B733" s="1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</row>
    <row r="734" spans="1:46" ht="12" customHeight="1">
      <c r="A734" s="1"/>
      <c r="B734" s="1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</row>
    <row r="735" spans="1:46" ht="12" customHeight="1">
      <c r="A735" s="1"/>
      <c r="B735" s="1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</row>
    <row r="736" spans="1:46" ht="12" customHeight="1">
      <c r="A736" s="1"/>
      <c r="B736" s="1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</row>
    <row r="737" spans="1:46" ht="12" customHeight="1">
      <c r="A737" s="1"/>
      <c r="B737" s="1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</row>
    <row r="738" spans="1:46" ht="12" customHeight="1">
      <c r="A738" s="1"/>
      <c r="B738" s="1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</row>
    <row r="739" spans="1:46" ht="12" customHeight="1">
      <c r="A739" s="1"/>
      <c r="B739" s="1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</row>
    <row r="740" spans="1:46" ht="12" customHeight="1">
      <c r="A740" s="1"/>
      <c r="B740" s="1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</row>
    <row r="741" spans="1:46" ht="12" customHeight="1">
      <c r="A741" s="1"/>
      <c r="B741" s="1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</row>
    <row r="742" spans="1:46" ht="12" customHeight="1">
      <c r="A742" s="1"/>
      <c r="B742" s="1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</row>
    <row r="743" spans="1:46" ht="12" customHeight="1">
      <c r="A743" s="1"/>
      <c r="B743" s="1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</row>
    <row r="744" spans="1:46" ht="12" customHeight="1">
      <c r="A744" s="1"/>
      <c r="B744" s="1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</row>
    <row r="745" spans="1:46" ht="12" customHeight="1">
      <c r="A745" s="1"/>
      <c r="B745" s="1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</row>
    <row r="746" spans="1:46" ht="12" customHeight="1">
      <c r="A746" s="1"/>
      <c r="B746" s="1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</row>
    <row r="747" spans="1:46" ht="12" customHeight="1">
      <c r="A747" s="1"/>
      <c r="B747" s="1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</row>
    <row r="748" spans="1:46" ht="12" customHeight="1">
      <c r="A748" s="1"/>
      <c r="B748" s="1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</row>
    <row r="749" spans="1:46" ht="12" customHeight="1">
      <c r="A749" s="1"/>
      <c r="B749" s="1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</row>
    <row r="750" spans="1:46" ht="12" customHeight="1">
      <c r="A750" s="1"/>
      <c r="B750" s="1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</row>
    <row r="751" spans="1:46" ht="12" customHeight="1">
      <c r="A751" s="1"/>
      <c r="B751" s="1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</row>
    <row r="752" spans="1:46" ht="12" customHeight="1">
      <c r="A752" s="1"/>
      <c r="B752" s="1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</row>
    <row r="753" spans="1:46" ht="12" customHeight="1">
      <c r="A753" s="1"/>
      <c r="B753" s="1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</row>
    <row r="754" spans="1:46" ht="12" customHeight="1">
      <c r="A754" s="1"/>
      <c r="B754" s="1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</row>
    <row r="755" spans="1:46" ht="12" customHeight="1">
      <c r="A755" s="1"/>
      <c r="B755" s="1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</row>
    <row r="756" spans="1:46" ht="12" customHeight="1">
      <c r="A756" s="1"/>
      <c r="B756" s="1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</row>
    <row r="757" spans="1:46" ht="12" customHeight="1">
      <c r="A757" s="1"/>
      <c r="B757" s="1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</row>
    <row r="758" spans="1:46" ht="12" customHeight="1">
      <c r="A758" s="1"/>
      <c r="B758" s="1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</row>
    <row r="759" spans="1:46" ht="12" customHeight="1">
      <c r="A759" s="1"/>
      <c r="B759" s="1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</row>
    <row r="760" spans="1:46" ht="12" customHeight="1">
      <c r="A760" s="1"/>
      <c r="B760" s="1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</row>
    <row r="761" spans="1:46" ht="12" customHeight="1">
      <c r="A761" s="1"/>
      <c r="B761" s="1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</row>
    <row r="762" spans="1:46" ht="12" customHeight="1">
      <c r="A762" s="1"/>
      <c r="B762" s="1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</row>
    <row r="763" spans="1:46" ht="12" customHeight="1">
      <c r="A763" s="1"/>
      <c r="B763" s="1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</row>
    <row r="764" spans="1:46" ht="12" customHeight="1">
      <c r="A764" s="1"/>
      <c r="B764" s="1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</row>
    <row r="765" spans="1:46" ht="12" customHeight="1">
      <c r="A765" s="1"/>
      <c r="B765" s="1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</row>
    <row r="766" spans="1:46" ht="12" customHeight="1">
      <c r="A766" s="1"/>
      <c r="B766" s="1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</row>
    <row r="767" spans="1:46" ht="12" customHeight="1">
      <c r="A767" s="1"/>
      <c r="B767" s="1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</row>
    <row r="768" spans="1:46" ht="12" customHeight="1">
      <c r="A768" s="1"/>
      <c r="B768" s="1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</row>
    <row r="769" spans="1:46" ht="12" customHeight="1">
      <c r="A769" s="1"/>
      <c r="B769" s="1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</row>
    <row r="770" spans="1:46" ht="12" customHeight="1">
      <c r="A770" s="1"/>
      <c r="B770" s="1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</row>
    <row r="771" spans="1:46" ht="12" customHeight="1">
      <c r="A771" s="1"/>
      <c r="B771" s="1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</row>
    <row r="772" spans="1:46" ht="12" customHeight="1">
      <c r="A772" s="1"/>
      <c r="B772" s="1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</row>
    <row r="773" spans="1:46" ht="12" customHeight="1">
      <c r="A773" s="1"/>
      <c r="B773" s="1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</row>
    <row r="774" spans="1:46" ht="12" customHeight="1">
      <c r="A774" s="1"/>
      <c r="B774" s="1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</row>
    <row r="775" spans="1:46" ht="12" customHeight="1">
      <c r="A775" s="1"/>
      <c r="B775" s="1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</row>
    <row r="776" spans="1:46" ht="12" customHeight="1">
      <c r="A776" s="1"/>
      <c r="B776" s="1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</row>
    <row r="777" spans="1:46" ht="12" customHeight="1">
      <c r="A777" s="1"/>
      <c r="B777" s="1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</row>
    <row r="778" spans="1:46" ht="12" customHeight="1">
      <c r="A778" s="1"/>
      <c r="B778" s="1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</row>
    <row r="779" spans="1:46" ht="12" customHeight="1">
      <c r="A779" s="1"/>
      <c r="B779" s="1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</row>
    <row r="780" spans="1:46" ht="12" customHeight="1">
      <c r="A780" s="1"/>
      <c r="B780" s="1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</row>
    <row r="781" spans="1:46" ht="12" customHeight="1">
      <c r="A781" s="1"/>
      <c r="B781" s="1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</row>
    <row r="782" spans="1:46" ht="12" customHeight="1">
      <c r="A782" s="1"/>
      <c r="B782" s="1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</row>
    <row r="783" spans="1:46" ht="12" customHeight="1">
      <c r="A783" s="1"/>
      <c r="B783" s="1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</row>
    <row r="784" spans="1:46" ht="12" customHeight="1">
      <c r="A784" s="1"/>
      <c r="B784" s="1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</row>
    <row r="785" spans="1:46" ht="12" customHeight="1">
      <c r="A785" s="1"/>
      <c r="B785" s="1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</row>
    <row r="786" spans="1:46" ht="12" customHeight="1">
      <c r="A786" s="1"/>
      <c r="B786" s="1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</row>
    <row r="787" spans="1:46" ht="12" customHeight="1">
      <c r="A787" s="1"/>
      <c r="B787" s="1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</row>
    <row r="788" spans="1:46" ht="12" customHeight="1">
      <c r="A788" s="1"/>
      <c r="B788" s="1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</row>
    <row r="789" spans="1:46" ht="12" customHeight="1">
      <c r="A789" s="1"/>
      <c r="B789" s="1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</row>
    <row r="790" spans="1:46" ht="12" customHeight="1">
      <c r="A790" s="1"/>
      <c r="B790" s="1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</row>
    <row r="791" spans="1:46" ht="12" customHeight="1">
      <c r="A791" s="1"/>
      <c r="B791" s="1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</row>
    <row r="792" spans="1:46" ht="12" customHeight="1">
      <c r="A792" s="1"/>
      <c r="B792" s="1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</row>
    <row r="793" spans="1:46" ht="12" customHeight="1">
      <c r="A793" s="1"/>
      <c r="B793" s="1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</row>
    <row r="794" spans="1:46" ht="12" customHeight="1">
      <c r="A794" s="1"/>
      <c r="B794" s="1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</row>
    <row r="795" spans="1:46" ht="12" customHeight="1">
      <c r="A795" s="1"/>
      <c r="B795" s="1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</row>
    <row r="796" spans="1:46" ht="12" customHeight="1">
      <c r="A796" s="1"/>
      <c r="B796" s="1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</row>
    <row r="797" spans="1:46" ht="12" customHeight="1">
      <c r="A797" s="1"/>
      <c r="B797" s="1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</row>
    <row r="798" spans="1:46" ht="12" customHeight="1">
      <c r="A798" s="1"/>
      <c r="B798" s="1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</row>
    <row r="799" spans="1:46" ht="12" customHeight="1">
      <c r="A799" s="1"/>
      <c r="B799" s="1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</row>
    <row r="800" spans="1:46" ht="12" customHeight="1">
      <c r="A800" s="1"/>
      <c r="B800" s="1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</row>
    <row r="801" spans="1:46" ht="12" customHeight="1">
      <c r="A801" s="1"/>
      <c r="B801" s="1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</row>
    <row r="802" spans="1:46" ht="12" customHeight="1">
      <c r="A802" s="1"/>
      <c r="B802" s="1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</row>
    <row r="803" spans="1:46" ht="12" customHeight="1">
      <c r="A803" s="1"/>
      <c r="B803" s="1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</row>
    <row r="804" spans="1:46" ht="12" customHeight="1">
      <c r="A804" s="1"/>
      <c r="B804" s="1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</row>
    <row r="805" spans="1:46" ht="12" customHeight="1">
      <c r="A805" s="1"/>
      <c r="B805" s="1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</row>
    <row r="806" spans="1:46" ht="12" customHeight="1">
      <c r="A806" s="1"/>
      <c r="B806" s="1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</row>
    <row r="807" spans="1:46" ht="12" customHeight="1">
      <c r="A807" s="1"/>
      <c r="B807" s="1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</row>
    <row r="808" spans="1:46" ht="12" customHeight="1">
      <c r="A808" s="1"/>
      <c r="B808" s="1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</row>
    <row r="809" spans="1:46" ht="12" customHeight="1">
      <c r="A809" s="1"/>
      <c r="B809" s="1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</row>
    <row r="810" spans="1:46" ht="12" customHeight="1">
      <c r="A810" s="1"/>
      <c r="B810" s="1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</row>
    <row r="811" spans="1:46" ht="12" customHeight="1">
      <c r="A811" s="1"/>
      <c r="B811" s="1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</row>
    <row r="812" spans="1:46" ht="12" customHeight="1">
      <c r="A812" s="1"/>
      <c r="B812" s="1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</row>
    <row r="813" spans="1:46" ht="12" customHeight="1">
      <c r="A813" s="1"/>
      <c r="B813" s="1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</row>
    <row r="814" spans="1:46" ht="12" customHeight="1">
      <c r="A814" s="1"/>
      <c r="B814" s="1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</row>
    <row r="815" spans="1:46" ht="12" customHeight="1">
      <c r="A815" s="1"/>
      <c r="B815" s="1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</row>
    <row r="816" spans="1:46" ht="12" customHeight="1">
      <c r="A816" s="1"/>
      <c r="B816" s="1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</row>
    <row r="817" spans="1:46" ht="12" customHeight="1">
      <c r="A817" s="1"/>
      <c r="B817" s="1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</row>
    <row r="818" spans="1:46" ht="12" customHeight="1">
      <c r="A818" s="1"/>
      <c r="B818" s="1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</row>
    <row r="819" spans="1:46" ht="12" customHeight="1">
      <c r="A819" s="1"/>
      <c r="B819" s="1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</row>
    <row r="820" spans="1:46" ht="12" customHeight="1">
      <c r="A820" s="1"/>
      <c r="B820" s="1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</row>
    <row r="821" spans="1:46" ht="12" customHeight="1">
      <c r="A821" s="1"/>
      <c r="B821" s="1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</row>
    <row r="822" spans="1:46" ht="12" customHeight="1">
      <c r="A822" s="1"/>
      <c r="B822" s="1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</row>
    <row r="823" spans="1:46" ht="12" customHeight="1">
      <c r="A823" s="1"/>
      <c r="B823" s="1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</row>
    <row r="824" spans="1:46" ht="12" customHeight="1">
      <c r="A824" s="1"/>
      <c r="B824" s="1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</row>
    <row r="825" spans="1:46" ht="12" customHeight="1">
      <c r="A825" s="1"/>
      <c r="B825" s="1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</row>
    <row r="826" spans="1:46" ht="12" customHeight="1">
      <c r="A826" s="1"/>
      <c r="B826" s="1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</row>
    <row r="827" spans="1:46" ht="12" customHeight="1">
      <c r="A827" s="1"/>
      <c r="B827" s="1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</row>
    <row r="828" spans="1:46" ht="12" customHeight="1">
      <c r="A828" s="1"/>
      <c r="B828" s="1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</row>
    <row r="829" spans="1:46" ht="12" customHeight="1">
      <c r="A829" s="1"/>
      <c r="B829" s="1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</row>
    <row r="830" spans="1:46" ht="12" customHeight="1">
      <c r="A830" s="1"/>
      <c r="B830" s="1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</row>
    <row r="831" spans="1:46" ht="12" customHeight="1">
      <c r="A831" s="1"/>
      <c r="B831" s="1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</row>
    <row r="832" spans="1:46" ht="12" customHeight="1">
      <c r="A832" s="1"/>
      <c r="B832" s="1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</row>
    <row r="833" spans="1:46" ht="12" customHeight="1">
      <c r="A833" s="1"/>
      <c r="B833" s="1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</row>
    <row r="834" spans="1:46" ht="12" customHeight="1">
      <c r="A834" s="1"/>
      <c r="B834" s="1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</row>
    <row r="835" spans="1:46" ht="12" customHeight="1">
      <c r="A835" s="1"/>
      <c r="B835" s="1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</row>
    <row r="836" spans="1:46" ht="12" customHeight="1">
      <c r="A836" s="1"/>
      <c r="B836" s="1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</row>
    <row r="837" spans="1:46" ht="12" customHeight="1">
      <c r="A837" s="1"/>
      <c r="B837" s="1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</row>
    <row r="838" spans="1:46" ht="12" customHeight="1">
      <c r="A838" s="1"/>
      <c r="B838" s="1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</row>
    <row r="839" spans="1:46" ht="12" customHeight="1">
      <c r="A839" s="1"/>
      <c r="B839" s="1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</row>
    <row r="840" spans="1:46" ht="12" customHeight="1">
      <c r="A840" s="1"/>
      <c r="B840" s="1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</row>
    <row r="841" spans="1:46" ht="12" customHeight="1">
      <c r="A841" s="1"/>
      <c r="B841" s="1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</row>
    <row r="842" spans="1:46" ht="12" customHeight="1">
      <c r="A842" s="1"/>
      <c r="B842" s="1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</row>
    <row r="843" spans="1:46" ht="12" customHeight="1">
      <c r="A843" s="1"/>
      <c r="B843" s="1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</row>
    <row r="844" spans="1:46" ht="12" customHeight="1">
      <c r="A844" s="1"/>
      <c r="B844" s="1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</row>
    <row r="845" spans="1:46" ht="12" customHeight="1">
      <c r="A845" s="1"/>
      <c r="B845" s="1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</row>
    <row r="846" spans="1:46" ht="12" customHeight="1">
      <c r="A846" s="1"/>
      <c r="B846" s="1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</row>
    <row r="847" spans="1:46" ht="12" customHeight="1">
      <c r="A847" s="1"/>
      <c r="B847" s="1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</row>
    <row r="848" spans="1:46" ht="12" customHeight="1">
      <c r="A848" s="1"/>
      <c r="B848" s="1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</row>
    <row r="849" spans="1:46" ht="12" customHeight="1">
      <c r="A849" s="1"/>
      <c r="B849" s="1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</row>
    <row r="850" spans="1:46" ht="12" customHeight="1">
      <c r="A850" s="1"/>
      <c r="B850" s="1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</row>
    <row r="851" spans="1:46" ht="12" customHeight="1">
      <c r="A851" s="1"/>
      <c r="B851" s="1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</row>
    <row r="852" spans="1:46" ht="12" customHeight="1">
      <c r="A852" s="1"/>
      <c r="B852" s="1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</row>
    <row r="853" spans="1:46" ht="12" customHeight="1">
      <c r="A853" s="1"/>
      <c r="B853" s="1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</row>
    <row r="854" spans="1:46" ht="12" customHeight="1">
      <c r="A854" s="1"/>
      <c r="B854" s="1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</row>
    <row r="855" spans="1:46" ht="12" customHeight="1">
      <c r="A855" s="1"/>
      <c r="B855" s="1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</row>
    <row r="856" spans="1:46" ht="12" customHeight="1">
      <c r="A856" s="1"/>
      <c r="B856" s="1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</row>
    <row r="857" spans="1:46" ht="12" customHeight="1">
      <c r="A857" s="1"/>
      <c r="B857" s="1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</row>
    <row r="858" spans="1:46" ht="12" customHeight="1">
      <c r="A858" s="1"/>
      <c r="B858" s="1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</row>
    <row r="859" spans="1:46" ht="12" customHeight="1">
      <c r="A859" s="1"/>
      <c r="B859" s="1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</row>
    <row r="860" spans="1:46" ht="12" customHeight="1">
      <c r="A860" s="1"/>
      <c r="B860" s="1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</row>
    <row r="861" spans="1:46" ht="12" customHeight="1">
      <c r="A861" s="1"/>
      <c r="B861" s="1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</row>
    <row r="862" spans="1:46" ht="12" customHeight="1">
      <c r="A862" s="1"/>
      <c r="B862" s="1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</row>
    <row r="863" spans="1:46" ht="12" customHeight="1">
      <c r="A863" s="1"/>
      <c r="B863" s="1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</row>
    <row r="864" spans="1:46" ht="12" customHeight="1">
      <c r="A864" s="1"/>
      <c r="B864" s="1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</row>
    <row r="865" spans="1:46" ht="12" customHeight="1">
      <c r="A865" s="1"/>
      <c r="B865" s="1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</row>
    <row r="866" spans="1:46" ht="12" customHeight="1">
      <c r="A866" s="1"/>
      <c r="B866" s="1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</row>
    <row r="867" spans="1:46" ht="12" customHeight="1">
      <c r="A867" s="1"/>
      <c r="B867" s="1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</row>
    <row r="868" spans="1:46" ht="12" customHeight="1">
      <c r="A868" s="1"/>
      <c r="B868" s="1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</row>
    <row r="869" spans="1:46" ht="12" customHeight="1">
      <c r="A869" s="1"/>
      <c r="B869" s="1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</row>
    <row r="870" spans="1:46" ht="12" customHeight="1">
      <c r="A870" s="1"/>
      <c r="B870" s="1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</row>
    <row r="871" spans="1:46" ht="12" customHeight="1">
      <c r="A871" s="1"/>
      <c r="B871" s="1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</row>
    <row r="872" spans="1:46" ht="12" customHeight="1">
      <c r="A872" s="1"/>
      <c r="B872" s="1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</row>
    <row r="873" spans="1:46" ht="12" customHeight="1">
      <c r="A873" s="1"/>
      <c r="B873" s="1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</row>
    <row r="874" spans="1:46" ht="12" customHeight="1">
      <c r="A874" s="1"/>
      <c r="B874" s="1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</row>
    <row r="875" spans="1:46" ht="12" customHeight="1">
      <c r="A875" s="1"/>
      <c r="B875" s="1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</row>
    <row r="876" spans="1:46" ht="12" customHeight="1">
      <c r="A876" s="1"/>
      <c r="B876" s="1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</row>
    <row r="877" spans="1:46" ht="12" customHeight="1">
      <c r="A877" s="1"/>
      <c r="B877" s="1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</row>
    <row r="878" spans="1:46" ht="12" customHeight="1">
      <c r="A878" s="1"/>
      <c r="B878" s="1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</row>
    <row r="879" spans="1:46" ht="12" customHeight="1">
      <c r="A879" s="1"/>
      <c r="B879" s="1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</row>
    <row r="880" spans="1:46" ht="12" customHeight="1">
      <c r="A880" s="1"/>
      <c r="B880" s="1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</row>
    <row r="881" spans="1:46" ht="12" customHeight="1">
      <c r="A881" s="1"/>
      <c r="B881" s="1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</row>
    <row r="882" spans="1:46" ht="12" customHeight="1">
      <c r="A882" s="1"/>
      <c r="B882" s="1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</row>
    <row r="883" spans="1:46" ht="12" customHeight="1">
      <c r="A883" s="1"/>
      <c r="B883" s="1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</row>
    <row r="884" spans="1:46" ht="12" customHeight="1">
      <c r="A884" s="1"/>
      <c r="B884" s="1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</row>
    <row r="885" spans="1:46" ht="12" customHeight="1">
      <c r="A885" s="1"/>
      <c r="B885" s="1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</row>
    <row r="886" spans="1:46" ht="12" customHeight="1">
      <c r="A886" s="1"/>
      <c r="B886" s="1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</row>
    <row r="887" spans="1:46" ht="12" customHeight="1">
      <c r="A887" s="1"/>
      <c r="B887" s="1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</row>
    <row r="888" spans="1:46" ht="12" customHeight="1">
      <c r="A888" s="1"/>
      <c r="B888" s="1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</row>
    <row r="889" spans="1:46" ht="12" customHeight="1">
      <c r="A889" s="1"/>
      <c r="B889" s="1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</row>
    <row r="890" spans="1:46" ht="12" customHeight="1">
      <c r="A890" s="1"/>
      <c r="B890" s="1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</row>
    <row r="891" spans="1:46" ht="12" customHeight="1">
      <c r="A891" s="1"/>
      <c r="B891" s="1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</row>
    <row r="892" spans="1:46" ht="12" customHeight="1">
      <c r="A892" s="1"/>
      <c r="B892" s="1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</row>
    <row r="893" spans="1:46" ht="12" customHeight="1">
      <c r="A893" s="1"/>
      <c r="B893" s="1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</row>
    <row r="894" spans="1:46" ht="12" customHeight="1">
      <c r="A894" s="1"/>
      <c r="B894" s="1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</row>
    <row r="895" spans="1:46" ht="12" customHeight="1">
      <c r="A895" s="1"/>
      <c r="B895" s="1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</row>
    <row r="896" spans="1:46" ht="12" customHeight="1">
      <c r="A896" s="1"/>
      <c r="B896" s="1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</row>
    <row r="897" spans="1:46" ht="12" customHeight="1">
      <c r="A897" s="1"/>
      <c r="B897" s="1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</row>
    <row r="898" spans="1:46" ht="12" customHeight="1">
      <c r="A898" s="1"/>
      <c r="B898" s="1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</row>
    <row r="899" spans="1:46" ht="12" customHeight="1">
      <c r="A899" s="1"/>
      <c r="B899" s="1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</row>
    <row r="900" spans="1:46" ht="12" customHeight="1">
      <c r="A900" s="1"/>
      <c r="B900" s="1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</row>
    <row r="901" spans="1:46" ht="12" customHeight="1">
      <c r="A901" s="1"/>
      <c r="B901" s="1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</row>
    <row r="902" spans="1:46" ht="12" customHeight="1">
      <c r="A902" s="1"/>
      <c r="B902" s="1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</row>
    <row r="903" spans="1:46" ht="12" customHeight="1">
      <c r="A903" s="1"/>
      <c r="B903" s="1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</row>
    <row r="904" spans="1:46" ht="12" customHeight="1">
      <c r="A904" s="1"/>
      <c r="B904" s="1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</row>
    <row r="905" spans="1:46" ht="12" customHeight="1">
      <c r="A905" s="1"/>
      <c r="B905" s="1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</row>
    <row r="906" spans="1:46" ht="12" customHeight="1">
      <c r="A906" s="1"/>
      <c r="B906" s="1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</row>
    <row r="907" spans="1:46" ht="12" customHeight="1">
      <c r="A907" s="1"/>
      <c r="B907" s="1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</row>
    <row r="908" spans="1:46" ht="12" customHeight="1">
      <c r="A908" s="1"/>
      <c r="B908" s="1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</row>
    <row r="909" spans="1:46" ht="12" customHeight="1">
      <c r="A909" s="1"/>
      <c r="B909" s="1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</row>
    <row r="910" spans="1:46" ht="12" customHeight="1">
      <c r="A910" s="1"/>
      <c r="B910" s="1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</row>
    <row r="911" spans="1:46" ht="12" customHeight="1">
      <c r="A911" s="1"/>
      <c r="B911" s="1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</row>
    <row r="912" spans="1:46" ht="12" customHeight="1">
      <c r="A912" s="1"/>
      <c r="B912" s="1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</row>
    <row r="913" spans="1:46" ht="12" customHeight="1">
      <c r="A913" s="1"/>
      <c r="B913" s="1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</row>
    <row r="914" spans="1:46" ht="12" customHeight="1">
      <c r="A914" s="1"/>
      <c r="B914" s="1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</row>
    <row r="915" spans="1:46" ht="12" customHeight="1">
      <c r="A915" s="1"/>
      <c r="B915" s="1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</row>
    <row r="916" spans="1:46" ht="12" customHeight="1">
      <c r="A916" s="1"/>
      <c r="B916" s="1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</row>
    <row r="917" spans="1:46" ht="12" customHeight="1">
      <c r="A917" s="1"/>
      <c r="B917" s="1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</row>
    <row r="918" spans="1:46" ht="12" customHeight="1">
      <c r="A918" s="1"/>
      <c r="B918" s="1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</row>
    <row r="919" spans="1:46" ht="12" customHeight="1">
      <c r="A919" s="1"/>
      <c r="B919" s="1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</row>
    <row r="920" spans="1:46" ht="12" customHeight="1">
      <c r="A920" s="1"/>
      <c r="B920" s="1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</row>
    <row r="921" spans="1:46" ht="12" customHeight="1">
      <c r="A921" s="1"/>
      <c r="B921" s="1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</row>
    <row r="922" spans="1:46" ht="12" customHeight="1">
      <c r="A922" s="1"/>
      <c r="B922" s="1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</row>
    <row r="923" spans="1:46" ht="12" customHeight="1">
      <c r="A923" s="1"/>
      <c r="B923" s="1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</row>
    <row r="924" spans="1:46" ht="12" customHeight="1">
      <c r="A924" s="1"/>
      <c r="B924" s="1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</row>
    <row r="925" spans="1:46" ht="12" customHeight="1">
      <c r="A925" s="1"/>
      <c r="B925" s="1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</row>
    <row r="926" spans="1:46" ht="12" customHeight="1">
      <c r="A926" s="1"/>
      <c r="B926" s="1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</row>
    <row r="927" spans="1:46" ht="12" customHeight="1">
      <c r="A927" s="1"/>
      <c r="B927" s="1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</row>
    <row r="928" spans="1:46" ht="12" customHeight="1">
      <c r="A928" s="1"/>
      <c r="B928" s="1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</row>
    <row r="929" spans="1:46" ht="12" customHeight="1">
      <c r="A929" s="1"/>
      <c r="B929" s="1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</row>
    <row r="930" spans="1:46" ht="12" customHeight="1">
      <c r="A930" s="1"/>
      <c r="B930" s="1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</row>
    <row r="931" spans="1:46" ht="12" customHeight="1">
      <c r="A931" s="1"/>
      <c r="B931" s="1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</row>
    <row r="932" spans="1:46" ht="12" customHeight="1">
      <c r="A932" s="1"/>
      <c r="B932" s="1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</row>
    <row r="933" spans="1:46" ht="12" customHeight="1">
      <c r="A933" s="1"/>
      <c r="B933" s="1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</row>
    <row r="934" spans="1:46" ht="12" customHeight="1">
      <c r="A934" s="1"/>
      <c r="B934" s="1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</row>
    <row r="935" spans="1:46" ht="12" customHeight="1">
      <c r="A935" s="1"/>
      <c r="B935" s="1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</row>
    <row r="936" spans="1:46" ht="12" customHeight="1">
      <c r="A936" s="1"/>
      <c r="B936" s="1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</row>
    <row r="937" spans="1:46" ht="12" customHeight="1">
      <c r="A937" s="1"/>
      <c r="B937" s="1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</row>
    <row r="938" spans="1:46" ht="12" customHeight="1">
      <c r="A938" s="1"/>
      <c r="B938" s="1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</row>
    <row r="939" spans="1:46" ht="12" customHeight="1">
      <c r="A939" s="1"/>
      <c r="B939" s="1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</row>
    <row r="940" spans="1:46" ht="12" customHeight="1">
      <c r="A940" s="1"/>
      <c r="B940" s="1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</row>
    <row r="941" spans="1:46" ht="12" customHeight="1">
      <c r="A941" s="1"/>
      <c r="B941" s="1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</row>
    <row r="942" spans="1:46" ht="12" customHeight="1">
      <c r="A942" s="1"/>
      <c r="B942" s="1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</row>
    <row r="943" spans="1:46" ht="12" customHeight="1">
      <c r="A943" s="1"/>
      <c r="B943" s="1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</row>
    <row r="944" spans="1:46" ht="12" customHeight="1">
      <c r="A944" s="1"/>
      <c r="B944" s="1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</row>
    <row r="945" spans="1:46" ht="12" customHeight="1">
      <c r="A945" s="1"/>
      <c r="B945" s="1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</row>
    <row r="946" spans="1:46" ht="12" customHeight="1">
      <c r="A946" s="1"/>
      <c r="B946" s="1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</row>
    <row r="947" spans="1:46" ht="12" customHeight="1">
      <c r="A947" s="1"/>
      <c r="B947" s="1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</row>
    <row r="948" spans="1:46" ht="12" customHeight="1">
      <c r="A948" s="1"/>
      <c r="B948" s="1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</row>
    <row r="949" spans="1:46" ht="12" customHeight="1">
      <c r="A949" s="1"/>
      <c r="B949" s="1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</row>
    <row r="950" spans="1:46" ht="12" customHeight="1">
      <c r="A950" s="1"/>
      <c r="B950" s="1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</row>
    <row r="951" spans="1:46" ht="12" customHeight="1">
      <c r="A951" s="1"/>
      <c r="B951" s="1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</row>
    <row r="952" spans="1:46" ht="12" customHeight="1">
      <c r="A952" s="1"/>
      <c r="B952" s="1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</row>
    <row r="953" spans="1:46" ht="12" customHeight="1">
      <c r="A953" s="1"/>
      <c r="B953" s="1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</row>
    <row r="954" spans="1:46" ht="12" customHeight="1">
      <c r="A954" s="1"/>
      <c r="B954" s="1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</row>
    <row r="955" spans="1:46" ht="12" customHeight="1">
      <c r="A955" s="1"/>
      <c r="B955" s="1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</row>
    <row r="956" spans="1:46" ht="12" customHeight="1">
      <c r="A956" s="1"/>
      <c r="B956" s="1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</row>
    <row r="957" spans="1:46" ht="12" customHeight="1">
      <c r="A957" s="1"/>
      <c r="B957" s="1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</row>
    <row r="958" spans="1:46" ht="12" customHeight="1">
      <c r="A958" s="1"/>
      <c r="B958" s="1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</row>
    <row r="959" spans="1:46" ht="12" customHeight="1">
      <c r="A959" s="1"/>
      <c r="B959" s="1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</row>
    <row r="960" spans="1:46" ht="12" customHeight="1">
      <c r="A960" s="1"/>
      <c r="B960" s="1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</row>
    <row r="961" spans="1:46" ht="12" customHeight="1">
      <c r="A961" s="1"/>
      <c r="B961" s="1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</row>
    <row r="962" spans="1:46" ht="12" customHeight="1">
      <c r="A962" s="1"/>
      <c r="B962" s="1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</row>
    <row r="963" spans="1:46" ht="12" customHeight="1">
      <c r="A963" s="1"/>
      <c r="B963" s="1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</row>
    <row r="964" spans="1:46" ht="12" customHeight="1">
      <c r="A964" s="1"/>
      <c r="B964" s="1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</row>
    <row r="965" spans="1:46" ht="12" customHeight="1">
      <c r="A965" s="1"/>
      <c r="B965" s="1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</row>
    <row r="966" spans="1:46" ht="12" customHeight="1">
      <c r="A966" s="1"/>
      <c r="B966" s="1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</row>
    <row r="967" spans="1:46" ht="12" customHeight="1">
      <c r="A967" s="1"/>
      <c r="B967" s="1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</row>
    <row r="968" spans="1:46" ht="12" customHeight="1">
      <c r="A968" s="1"/>
      <c r="B968" s="1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</row>
    <row r="969" spans="1:46" ht="12" customHeight="1">
      <c r="A969" s="1"/>
      <c r="B969" s="1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</row>
    <row r="970" spans="1:46" ht="12" customHeight="1">
      <c r="A970" s="1"/>
      <c r="B970" s="1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</row>
  </sheetData>
  <mergeCells count="2">
    <mergeCell ref="B7:B11"/>
    <mergeCell ref="C7:C11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990"/>
  <sheetViews>
    <sheetView workbookViewId="0">
      <selection activeCell="D32" sqref="D32"/>
    </sheetView>
  </sheetViews>
  <sheetFormatPr baseColWidth="10" defaultColWidth="14.5" defaultRowHeight="15" customHeight="1"/>
  <cols>
    <col min="1" max="1" width="25.1640625" customWidth="1"/>
    <col min="2" max="4" width="11.5" customWidth="1"/>
    <col min="5" max="11" width="12.1640625" customWidth="1"/>
    <col min="12" max="16" width="13.5" customWidth="1"/>
    <col min="17" max="37" width="13" customWidth="1"/>
  </cols>
  <sheetData>
    <row r="1" spans="1:37" ht="14.25" customHeight="1"/>
    <row r="2" spans="1:37" ht="14.25" customHeight="1">
      <c r="A2" s="38" t="s">
        <v>69</v>
      </c>
      <c r="B2" s="39" t="s">
        <v>70</v>
      </c>
      <c r="C2" s="39" t="s">
        <v>71</v>
      </c>
      <c r="D2" s="39" t="s">
        <v>72</v>
      </c>
      <c r="E2" s="39" t="s">
        <v>73</v>
      </c>
      <c r="F2" s="39" t="s">
        <v>74</v>
      </c>
      <c r="G2" s="39" t="s">
        <v>75</v>
      </c>
      <c r="H2" s="39" t="s">
        <v>76</v>
      </c>
      <c r="I2" s="39" t="s">
        <v>77</v>
      </c>
      <c r="J2" s="39" t="s">
        <v>78</v>
      </c>
      <c r="K2" s="39" t="s">
        <v>79</v>
      </c>
      <c r="L2" s="39" t="s">
        <v>80</v>
      </c>
      <c r="M2" s="39" t="s">
        <v>81</v>
      </c>
      <c r="N2" s="39" t="s">
        <v>82</v>
      </c>
      <c r="O2" s="39" t="s">
        <v>83</v>
      </c>
      <c r="P2" s="39" t="s">
        <v>84</v>
      </c>
      <c r="Q2" s="39" t="s">
        <v>85</v>
      </c>
      <c r="R2" s="39" t="s">
        <v>86</v>
      </c>
      <c r="S2" s="39" t="s">
        <v>87</v>
      </c>
      <c r="T2" s="39" t="s">
        <v>88</v>
      </c>
      <c r="U2" s="39" t="s">
        <v>89</v>
      </c>
      <c r="V2" s="39" t="s">
        <v>90</v>
      </c>
      <c r="W2" s="39" t="s">
        <v>91</v>
      </c>
      <c r="X2" s="39" t="s">
        <v>92</v>
      </c>
      <c r="Y2" s="39" t="s">
        <v>93</v>
      </c>
      <c r="Z2" s="39" t="s">
        <v>94</v>
      </c>
      <c r="AA2" s="39" t="s">
        <v>95</v>
      </c>
      <c r="AB2" s="39" t="s">
        <v>96</v>
      </c>
      <c r="AC2" s="39" t="s">
        <v>97</v>
      </c>
      <c r="AD2" s="39" t="s">
        <v>98</v>
      </c>
      <c r="AE2" s="39" t="s">
        <v>99</v>
      </c>
      <c r="AF2" s="39" t="s">
        <v>100</v>
      </c>
      <c r="AG2" s="39" t="s">
        <v>101</v>
      </c>
      <c r="AH2" s="39" t="s">
        <v>102</v>
      </c>
      <c r="AI2" s="39" t="s">
        <v>103</v>
      </c>
      <c r="AJ2" s="39" t="s">
        <v>104</v>
      </c>
      <c r="AK2" s="39" t="s">
        <v>105</v>
      </c>
    </row>
    <row r="3" spans="1:37" ht="14.25" customHeight="1">
      <c r="A3" s="38" t="s">
        <v>106</v>
      </c>
      <c r="B3" s="40">
        <f>SUM(BOM_full!K7:K11)</f>
        <v>0</v>
      </c>
      <c r="C3" s="40">
        <f>SUM(BOM_full!L7:L11)</f>
        <v>1811.6974999999998</v>
      </c>
      <c r="D3" s="40">
        <f>SUM(BOM_full!M7:M11)</f>
        <v>1811.6974999999998</v>
      </c>
      <c r="E3" s="40">
        <f>SUM(BOM_full!N7:N11)</f>
        <v>1811.6974999999998</v>
      </c>
      <c r="F3" s="40">
        <f>SUM(BOM_full!O7:O11)</f>
        <v>1811.6974999999998</v>
      </c>
      <c r="G3" s="40">
        <f>SUM(BOM_full!P7:P11)</f>
        <v>1811.6974999999998</v>
      </c>
      <c r="H3" s="40">
        <f>SUM(BOM_full!Q7:Q11)</f>
        <v>1811.6974999999998</v>
      </c>
      <c r="I3" s="40">
        <f>SUM(BOM_full!R7:R11)</f>
        <v>1811.6974999999998</v>
      </c>
      <c r="J3" s="40">
        <f>SUM(BOM_full!S7:S11)</f>
        <v>1811.6974999999998</v>
      </c>
      <c r="K3" s="40">
        <f>SUM(BOM_full!T7:T11)</f>
        <v>1811.6974999999998</v>
      </c>
      <c r="L3" s="40">
        <f>SUM(BOM_full!U7:U11)</f>
        <v>1811.6974999999998</v>
      </c>
      <c r="M3" s="40">
        <f>SUM(BOM_full!V7:V11)</f>
        <v>1811.6974999999998</v>
      </c>
      <c r="N3" s="40">
        <f>SUM(BOM_full!W7:W11)</f>
        <v>1811.6974999999998</v>
      </c>
      <c r="O3" s="40">
        <f>SUM(BOM_full!X7:X11)</f>
        <v>1811.6974999999998</v>
      </c>
      <c r="P3" s="40">
        <f>SUM(BOM_full!Y7:Y11)</f>
        <v>1811.6974999999998</v>
      </c>
      <c r="Q3" s="40">
        <f>SUM(BOM_full!Z7:Z11)</f>
        <v>1811.6974999999998</v>
      </c>
      <c r="R3" s="40">
        <f>SUM(BOM_full!AA7:AA11)</f>
        <v>1811.6974999999998</v>
      </c>
      <c r="S3" s="40">
        <f>SUM(BOM_full!AB7:AB11)</f>
        <v>1811.6974999999998</v>
      </c>
      <c r="T3" s="40">
        <f>SUM(BOM_full!AC7:AC11)</f>
        <v>1811.6974999999998</v>
      </c>
      <c r="U3" s="40">
        <f>SUM(BOM_full!AD7:AD11)</f>
        <v>1811.6974999999998</v>
      </c>
      <c r="V3" s="40">
        <f>SUM(BOM_full!AE7:AE11)</f>
        <v>1811.6974999999998</v>
      </c>
      <c r="W3" s="40">
        <f>SUM(BOM_full!AF7:AF11)</f>
        <v>1811.6974999999998</v>
      </c>
      <c r="X3" s="40">
        <f>SUM(BOM_full!AG7:AG11)</f>
        <v>1811.6974999999998</v>
      </c>
      <c r="Y3" s="40">
        <f>SUM(BOM_full!AH7:AH11)</f>
        <v>1811.6974999999998</v>
      </c>
      <c r="Z3" s="40">
        <f>SUM(BOM_full!AI7:AI11)</f>
        <v>1811.6974999999998</v>
      </c>
      <c r="AA3" s="40">
        <f>SUM(BOM_full!AJ7:AJ11)</f>
        <v>1811.6974999999998</v>
      </c>
      <c r="AB3" s="40">
        <f>SUM(BOM_full!AK7:AK11)</f>
        <v>1811.6974999999998</v>
      </c>
      <c r="AC3" s="40">
        <f>SUM(BOM_full!AL7:AL11)</f>
        <v>1811.6974999999998</v>
      </c>
      <c r="AD3" s="40">
        <f>SUM(BOM_full!AM7:AM11)</f>
        <v>1811.6974999999998</v>
      </c>
      <c r="AE3" s="40">
        <f>SUM(BOM_full!AN7:AN11)</f>
        <v>1811.6974999999998</v>
      </c>
      <c r="AF3" s="40">
        <f>SUM(BOM_full!AO7:AO11)</f>
        <v>1811.6974999999998</v>
      </c>
      <c r="AG3" s="40">
        <f>SUM(BOM_full!AP7:AP11)</f>
        <v>1811.6974999999998</v>
      </c>
      <c r="AH3" s="40">
        <f>SUM(BOM_full!AQ7:AQ11)</f>
        <v>1811.6974999999998</v>
      </c>
      <c r="AI3" s="40">
        <f>SUM(BOM_full!AR7:AR11)</f>
        <v>1811.6974999999998</v>
      </c>
      <c r="AJ3" s="40">
        <f>SUM(BOM_full!AS7:AS11)</f>
        <v>1811.6974999999998</v>
      </c>
      <c r="AK3" s="40">
        <f>SUM(BOM_full!AT7:AT11)</f>
        <v>1811.6974999999998</v>
      </c>
    </row>
    <row r="4" spans="1:37" ht="14.25" customHeight="1">
      <c r="A4" s="38" t="s">
        <v>107</v>
      </c>
      <c r="B4" s="40">
        <f>BOM_full!K6</f>
        <v>0</v>
      </c>
      <c r="C4" s="40">
        <f>BOM_full!L6</f>
        <v>1768.4249999999997</v>
      </c>
      <c r="D4" s="40">
        <f>BOM_full!M6</f>
        <v>1768.4249999999997</v>
      </c>
      <c r="E4" s="40">
        <f>BOM_full!N6</f>
        <v>1768.4249999999997</v>
      </c>
      <c r="F4" s="40">
        <f>BOM_full!O6</f>
        <v>1768.4249999999997</v>
      </c>
      <c r="G4" s="40">
        <f>BOM_full!P6</f>
        <v>1768.4249999999997</v>
      </c>
      <c r="H4" s="40">
        <f>BOM_full!Q6</f>
        <v>1768.4249999999997</v>
      </c>
      <c r="I4" s="40">
        <f>BOM_full!R6</f>
        <v>1768.4249999999997</v>
      </c>
      <c r="J4" s="40">
        <f>BOM_full!S6</f>
        <v>1768.4249999999997</v>
      </c>
      <c r="K4" s="40">
        <f>BOM_full!T6</f>
        <v>1768.4249999999997</v>
      </c>
      <c r="L4" s="40">
        <f>BOM_full!U6</f>
        <v>1768.4249999999997</v>
      </c>
      <c r="M4" s="40">
        <f>BOM_full!V6</f>
        <v>1768.4249999999997</v>
      </c>
      <c r="N4" s="40">
        <f>BOM_full!W6</f>
        <v>1768.4249999999997</v>
      </c>
      <c r="O4" s="40">
        <f>BOM_full!X6</f>
        <v>1768.4249999999997</v>
      </c>
      <c r="P4" s="40">
        <f>BOM_full!Y6</f>
        <v>1768.4249999999997</v>
      </c>
      <c r="Q4" s="40">
        <f>BOM_full!Z6</f>
        <v>1768.4249999999997</v>
      </c>
      <c r="R4" s="40">
        <f>BOM_full!AA6</f>
        <v>1768.4249999999997</v>
      </c>
      <c r="S4" s="40">
        <f>BOM_full!AB6</f>
        <v>1768.4249999999997</v>
      </c>
      <c r="T4" s="40">
        <f>BOM_full!AC6</f>
        <v>1768.4249999999997</v>
      </c>
      <c r="U4" s="40">
        <f>BOM_full!AD6</f>
        <v>1768.4249999999997</v>
      </c>
      <c r="V4" s="40">
        <f>BOM_full!AE6</f>
        <v>1768.4249999999997</v>
      </c>
      <c r="W4" s="40">
        <f>BOM_full!AF6</f>
        <v>1768.4249999999997</v>
      </c>
      <c r="X4" s="40">
        <f>BOM_full!AG6</f>
        <v>1768.4249999999997</v>
      </c>
      <c r="Y4" s="40">
        <f>BOM_full!AH6</f>
        <v>1768.4249999999997</v>
      </c>
      <c r="Z4" s="40">
        <f>BOM_full!AI6</f>
        <v>1768.4249999999997</v>
      </c>
      <c r="AA4" s="40">
        <f>BOM_full!AJ6</f>
        <v>1768.4249999999997</v>
      </c>
      <c r="AB4" s="40">
        <f>BOM_full!AK6</f>
        <v>1768.4249999999997</v>
      </c>
      <c r="AC4" s="40">
        <f>BOM_full!AL6</f>
        <v>1768.4249999999997</v>
      </c>
      <c r="AD4" s="40">
        <f>BOM_full!AM6</f>
        <v>1768.4249999999997</v>
      </c>
      <c r="AE4" s="40">
        <f>BOM_full!AN6</f>
        <v>1768.4249999999997</v>
      </c>
      <c r="AF4" s="40">
        <f>BOM_full!AO6</f>
        <v>1768.4249999999997</v>
      </c>
      <c r="AG4" s="40">
        <f>BOM_full!AP6</f>
        <v>1768.4249999999997</v>
      </c>
      <c r="AH4" s="40">
        <f>BOM_full!AQ6</f>
        <v>1768.4249999999997</v>
      </c>
      <c r="AI4" s="40">
        <f>BOM_full!AR6</f>
        <v>1768.4249999999997</v>
      </c>
      <c r="AJ4" s="40">
        <f>BOM_full!AS6</f>
        <v>1768.4249999999997</v>
      </c>
      <c r="AK4" s="40">
        <f>BOM_full!AT6</f>
        <v>1768.4249999999997</v>
      </c>
    </row>
    <row r="5" spans="1:37" ht="14.25" customHeight="1">
      <c r="B5" s="41">
        <f>SUM(B3:B4)</f>
        <v>0</v>
      </c>
      <c r="C5" s="41">
        <f>SUM(C3:C4)</f>
        <v>3580.1224999999995</v>
      </c>
      <c r="D5" s="41">
        <f>SUM(D3:D4)</f>
        <v>3580.1224999999995</v>
      </c>
      <c r="E5" s="41">
        <f>SUM(E3:E4)</f>
        <v>3580.1224999999995</v>
      </c>
      <c r="F5" s="41">
        <f>SUM(F3:F4)</f>
        <v>3580.1224999999995</v>
      </c>
      <c r="G5" s="41">
        <f>SUM(G3:G4)</f>
        <v>3580.1224999999995</v>
      </c>
      <c r="H5" s="41">
        <f>SUM(H3:H4)</f>
        <v>3580.1224999999995</v>
      </c>
      <c r="I5" s="41">
        <f>SUM(I3:I4)</f>
        <v>3580.1224999999995</v>
      </c>
      <c r="J5" s="41">
        <f>SUM(J3:J4)</f>
        <v>3580.1224999999995</v>
      </c>
      <c r="K5" s="41">
        <f>SUM(K3:K4)</f>
        <v>3580.1224999999995</v>
      </c>
      <c r="L5" s="41">
        <f>SUM(L3:L4)</f>
        <v>3580.1224999999995</v>
      </c>
      <c r="M5" s="41">
        <f>SUM(M3:M4)</f>
        <v>3580.1224999999995</v>
      </c>
      <c r="N5" s="41">
        <f>SUM(N3:N4)</f>
        <v>3580.1224999999995</v>
      </c>
      <c r="O5" s="41">
        <f>SUM(O3:O4)</f>
        <v>3580.1224999999995</v>
      </c>
      <c r="P5" s="41">
        <f>SUM(P3:P4)</f>
        <v>3580.1224999999995</v>
      </c>
      <c r="Q5" s="41">
        <f>SUM(Q3:Q4)</f>
        <v>3580.1224999999995</v>
      </c>
      <c r="R5" s="41">
        <f>SUM(R3:R4)</f>
        <v>3580.1224999999995</v>
      </c>
      <c r="S5" s="41">
        <f>SUM(S3:S4)</f>
        <v>3580.1224999999995</v>
      </c>
      <c r="T5" s="41">
        <f>SUM(T3:T4)</f>
        <v>3580.1224999999995</v>
      </c>
      <c r="U5" s="41">
        <f>SUM(U3:U4)</f>
        <v>3580.1224999999995</v>
      </c>
      <c r="V5" s="41">
        <f>SUM(V3:V4)</f>
        <v>3580.1224999999995</v>
      </c>
      <c r="W5" s="41">
        <f>SUM(W3:W4)</f>
        <v>3580.1224999999995</v>
      </c>
      <c r="X5" s="41">
        <f>SUM(X3:X4)</f>
        <v>3580.1224999999995</v>
      </c>
      <c r="Y5" s="41">
        <f>SUM(Y3:Y4)</f>
        <v>3580.1224999999995</v>
      </c>
      <c r="Z5" s="41">
        <f>SUM(Z3:Z4)</f>
        <v>3580.1224999999995</v>
      </c>
      <c r="AA5" s="41">
        <f>SUM(AA3:AA4)</f>
        <v>3580.1224999999995</v>
      </c>
      <c r="AB5" s="41">
        <f>SUM(AB3:AB4)</f>
        <v>3580.1224999999995</v>
      </c>
      <c r="AC5" s="41">
        <f>SUM(AC3:AC4)</f>
        <v>3580.1224999999995</v>
      </c>
      <c r="AD5" s="41">
        <f>SUM(AD3:AD4)</f>
        <v>3580.1224999999995</v>
      </c>
      <c r="AE5" s="41">
        <f>SUM(AE3:AE4)</f>
        <v>3580.1224999999995</v>
      </c>
      <c r="AF5" s="41">
        <f>SUM(AF3:AF4)</f>
        <v>3580.1224999999995</v>
      </c>
      <c r="AG5" s="41">
        <f>SUM(AG3:AG4)</f>
        <v>3580.1224999999995</v>
      </c>
      <c r="AH5" s="41">
        <f>SUM(AH3:AH4)</f>
        <v>3580.1224999999995</v>
      </c>
      <c r="AI5" s="41">
        <f>SUM(AI3:AI4)</f>
        <v>3580.1224999999995</v>
      </c>
      <c r="AJ5" s="41">
        <f>SUM(AJ3:AJ4)</f>
        <v>3580.1224999999995</v>
      </c>
      <c r="AK5" s="41">
        <f>SUM(AK3:AK4)</f>
        <v>3580.1224999999995</v>
      </c>
    </row>
    <row r="6" spans="1:37" ht="14.25" customHeight="1">
      <c r="M6" s="42">
        <f>SUM(B5:M5)</f>
        <v>39381.347499999982</v>
      </c>
      <c r="Y6" s="42">
        <f>SUM(N5:Y5)</f>
        <v>42961.469999999979</v>
      </c>
      <c r="AK6" s="42">
        <f>SUM(Z5:AK5)</f>
        <v>42961.469999999979</v>
      </c>
    </row>
    <row r="7" spans="1:37" ht="14.25" customHeight="1"/>
    <row r="8" spans="1:37" ht="14.25" customHeight="1">
      <c r="B8" s="43" t="s">
        <v>70</v>
      </c>
      <c r="C8" s="43" t="s">
        <v>71</v>
      </c>
      <c r="D8" s="43" t="s">
        <v>72</v>
      </c>
      <c r="E8" s="43" t="s">
        <v>73</v>
      </c>
      <c r="F8" s="43" t="s">
        <v>74</v>
      </c>
      <c r="G8" s="43" t="s">
        <v>75</v>
      </c>
      <c r="H8" s="43" t="s">
        <v>76</v>
      </c>
      <c r="I8" s="43" t="s">
        <v>77</v>
      </c>
      <c r="J8" s="43" t="s">
        <v>78</v>
      </c>
      <c r="K8" s="43" t="s">
        <v>79</v>
      </c>
      <c r="L8" s="43" t="s">
        <v>80</v>
      </c>
      <c r="M8" s="43" t="s">
        <v>81</v>
      </c>
      <c r="N8" s="43" t="s">
        <v>82</v>
      </c>
      <c r="O8" s="43" t="s">
        <v>83</v>
      </c>
      <c r="P8" s="43" t="s">
        <v>84</v>
      </c>
      <c r="Q8" s="43" t="s">
        <v>85</v>
      </c>
      <c r="R8" s="43" t="s">
        <v>86</v>
      </c>
      <c r="S8" s="43" t="s">
        <v>87</v>
      </c>
      <c r="T8" s="43" t="s">
        <v>88</v>
      </c>
      <c r="U8" s="43" t="s">
        <v>89</v>
      </c>
      <c r="V8" s="43" t="s">
        <v>90</v>
      </c>
      <c r="W8" s="43" t="s">
        <v>91</v>
      </c>
      <c r="X8" s="43" t="s">
        <v>92</v>
      </c>
      <c r="Y8" s="43" t="s">
        <v>93</v>
      </c>
      <c r="Z8" s="43" t="s">
        <v>94</v>
      </c>
      <c r="AA8" s="43" t="s">
        <v>95</v>
      </c>
      <c r="AB8" s="43" t="s">
        <v>96</v>
      </c>
      <c r="AC8" s="43" t="s">
        <v>97</v>
      </c>
      <c r="AD8" s="43" t="s">
        <v>98</v>
      </c>
      <c r="AE8" s="43" t="s">
        <v>99</v>
      </c>
      <c r="AF8" s="43" t="s">
        <v>100</v>
      </c>
      <c r="AG8" s="43" t="s">
        <v>101</v>
      </c>
      <c r="AH8" s="43" t="s">
        <v>102</v>
      </c>
      <c r="AI8" s="43" t="s">
        <v>103</v>
      </c>
      <c r="AJ8" s="43" t="s">
        <v>104</v>
      </c>
      <c r="AK8" s="43" t="s">
        <v>105</v>
      </c>
    </row>
    <row r="9" spans="1:37" ht="14.25" customHeight="1">
      <c r="A9" s="45" t="s">
        <v>106</v>
      </c>
      <c r="B9" s="44">
        <v>0</v>
      </c>
      <c r="C9" s="44">
        <v>1</v>
      </c>
      <c r="D9" s="44">
        <v>1</v>
      </c>
      <c r="E9" s="44">
        <v>1</v>
      </c>
      <c r="F9" s="44">
        <v>1</v>
      </c>
      <c r="G9" s="44">
        <v>1</v>
      </c>
      <c r="H9" s="44"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Q9" s="44">
        <v>1</v>
      </c>
      <c r="R9" s="44">
        <v>1</v>
      </c>
      <c r="S9" s="44">
        <v>1</v>
      </c>
      <c r="T9" s="44">
        <v>1</v>
      </c>
      <c r="U9" s="44">
        <v>1</v>
      </c>
      <c r="V9" s="44">
        <v>1</v>
      </c>
      <c r="W9" s="44">
        <v>1</v>
      </c>
      <c r="X9" s="44">
        <v>1</v>
      </c>
      <c r="Y9" s="44">
        <v>1</v>
      </c>
      <c r="Z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</row>
    <row r="10" spans="1:37" ht="14.25" customHeight="1">
      <c r="A10" s="46" t="s">
        <v>52</v>
      </c>
      <c r="B10" s="44">
        <v>0</v>
      </c>
      <c r="C10" s="44">
        <v>1</v>
      </c>
      <c r="D10" s="44">
        <v>1</v>
      </c>
      <c r="E10" s="44">
        <v>1</v>
      </c>
      <c r="F10" s="44">
        <v>1</v>
      </c>
      <c r="G10" s="44">
        <v>1</v>
      </c>
      <c r="H10" s="44">
        <v>1</v>
      </c>
      <c r="I10" s="44">
        <v>1</v>
      </c>
      <c r="J10" s="44">
        <v>1</v>
      </c>
      <c r="K10" s="44">
        <v>1</v>
      </c>
      <c r="L10" s="44">
        <v>1</v>
      </c>
      <c r="M10" s="44">
        <v>1</v>
      </c>
      <c r="N10" s="44">
        <v>1</v>
      </c>
      <c r="O10" s="44">
        <v>1</v>
      </c>
      <c r="P10" s="44">
        <v>1</v>
      </c>
      <c r="Q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</row>
    <row r="11" spans="1:37" ht="14.25" customHeight="1"/>
    <row r="12" spans="1:37" ht="14.25" customHeight="1"/>
    <row r="13" spans="1:37" ht="14.25" customHeight="1"/>
    <row r="14" spans="1:37" ht="14.25" customHeight="1"/>
    <row r="15" spans="1:37" ht="14.25" customHeight="1"/>
    <row r="16" spans="1:3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</sheetData>
  <conditionalFormatting sqref="B9:AK10">
    <cfRule type="colorScale" priority="5">
      <colorScale>
        <cfvo type="min"/>
        <cfvo type="max"/>
        <color rgb="FFFFEF9C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95"/>
  <sheetViews>
    <sheetView workbookViewId="0">
      <selection activeCell="B31" sqref="B31"/>
    </sheetView>
  </sheetViews>
  <sheetFormatPr baseColWidth="10" defaultColWidth="14.5" defaultRowHeight="15" customHeight="1"/>
  <cols>
    <col min="1" max="1" width="29.1640625" customWidth="1"/>
    <col min="2" max="2" width="35.83203125" customWidth="1"/>
    <col min="3" max="3" width="13.83203125" customWidth="1"/>
    <col min="4" max="5" width="13.5" customWidth="1"/>
    <col min="6" max="26" width="8.6640625" customWidth="1"/>
  </cols>
  <sheetData>
    <row r="1" spans="1:5" ht="14.25" customHeight="1"/>
    <row r="2" spans="1:5" ht="14.25" customHeight="1"/>
    <row r="3" spans="1:5" ht="14.25" customHeight="1"/>
    <row r="4" spans="1:5" ht="14.25" customHeight="1"/>
    <row r="5" spans="1:5" ht="14.25" customHeight="1">
      <c r="A5" s="65" t="s">
        <v>108</v>
      </c>
      <c r="B5" s="66"/>
      <c r="C5" s="67"/>
      <c r="D5" s="47"/>
      <c r="E5" s="47"/>
    </row>
    <row r="6" spans="1:5" ht="14.25" customHeight="1">
      <c r="A6" s="48" t="s">
        <v>109</v>
      </c>
      <c r="B6" s="48" t="s">
        <v>110</v>
      </c>
      <c r="C6" s="48" t="s">
        <v>111</v>
      </c>
      <c r="D6" s="49" t="s">
        <v>112</v>
      </c>
      <c r="E6" s="50" t="s">
        <v>113</v>
      </c>
    </row>
    <row r="7" spans="1:5" ht="14.25" customHeight="1">
      <c r="A7" s="51" t="s">
        <v>56</v>
      </c>
      <c r="B7" s="15" t="s">
        <v>114</v>
      </c>
      <c r="C7" s="52">
        <f>SUM(Rampa!B3:M3)</f>
        <v>19928.672499999997</v>
      </c>
      <c r="D7" s="52">
        <f>SUM(Rampa!N3:Y3)</f>
        <v>21740.369999999995</v>
      </c>
      <c r="E7" s="52">
        <f>SUM(Rampa!Z3:AK3)</f>
        <v>21740.369999999995</v>
      </c>
    </row>
    <row r="8" spans="1:5" ht="14.25" customHeight="1">
      <c r="A8" s="51" t="s">
        <v>52</v>
      </c>
      <c r="B8" s="15" t="s">
        <v>115</v>
      </c>
      <c r="C8" s="53">
        <f>SUM(Rampa!B4:M4)</f>
        <v>19452.674999999996</v>
      </c>
      <c r="D8" s="53">
        <f>SUM(Rampa!N4:Y4)</f>
        <v>21221.099999999995</v>
      </c>
      <c r="E8" s="53">
        <f>SUM(Rampa!Z4:AK4)</f>
        <v>21221.099999999995</v>
      </c>
    </row>
    <row r="9" spans="1:5" ht="14.25" customHeight="1">
      <c r="A9" s="54"/>
      <c r="B9" s="55" t="s">
        <v>116</v>
      </c>
      <c r="C9" s="56">
        <f>SUM(C7:C8)</f>
        <v>39381.347499999989</v>
      </c>
      <c r="D9" s="57">
        <f>SUM(D7:D8)</f>
        <v>42961.469999999987</v>
      </c>
      <c r="E9" s="58">
        <f>SUM(E7:E8)</f>
        <v>42961.469999999987</v>
      </c>
    </row>
    <row r="10" spans="1:5" ht="14.25" customHeight="1"/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mergeCells count="1">
    <mergeCell ref="A5:C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tabSelected="1" workbookViewId="0">
      <selection activeCell="I13" sqref="I13"/>
    </sheetView>
  </sheetViews>
  <sheetFormatPr baseColWidth="10" defaultColWidth="14.5" defaultRowHeight="15" customHeight="1"/>
  <cols>
    <col min="1" max="26" width="8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BOM_full</vt:lpstr>
      <vt:lpstr>Rampa</vt:lpstr>
      <vt:lpstr>Resumen_BoM</vt:lpstr>
      <vt:lpstr>Arquitectura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avargas</dc:creator>
  <cp:lastModifiedBy>Felipe Basso Vera</cp:lastModifiedBy>
  <dcterms:created xsi:type="dcterms:W3CDTF">2024-03-11T20:18:18Z</dcterms:created>
  <dcterms:modified xsi:type="dcterms:W3CDTF">2026-06-10T14:05:30Z</dcterms:modified>
</cp:coreProperties>
</file>